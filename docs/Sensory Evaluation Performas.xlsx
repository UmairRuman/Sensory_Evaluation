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khalid\Desktop\Zeshan\Sensory Evaluation\"/>
    </mc:Choice>
  </mc:AlternateContent>
  <xr:revisionPtr revIDLastSave="0" documentId="13_ncr:1_{DF27BD3E-744F-46D7-A4C0-7DA5E8D8F6B6}" xr6:coauthVersionLast="47" xr6:coauthVersionMax="47" xr10:uidLastSave="{00000000-0000-0000-0000-000000000000}"/>
  <bookViews>
    <workbookView xWindow="-108" yWindow="-108" windowWidth="23256" windowHeight="12576" tabRatio="500" firstSheet="6" activeTab="7" xr2:uid="{00000000-000D-0000-FFFF-FFFF00000000}"/>
  </bookViews>
  <sheets>
    <sheet name="Cat 1 - Bread &amp; Buns" sheetId="1" r:id="rId1"/>
    <sheet name="Cat 2 - Shawarma &amp; Tortilla" sheetId="2" r:id="rId2"/>
    <sheet name="Cat 3 - Parathas Naan Sheermal" sheetId="3" r:id="rId3"/>
    <sheet name="Cat 4 - Samosa" sheetId="4" r:id="rId4"/>
    <sheet name="Cat 5 - Rusks" sheetId="5" r:id="rId5"/>
    <sheet name="Cat 6 - Cakes Muffins Cupcakes" sheetId="6" r:id="rId6"/>
    <sheet name="Cat 7 - Chicken Products" sheetId="7" r:id="rId7"/>
    <sheet name="Cat 8 - Kebabs" sheetId="8" r:id="rId8"/>
    <sheet name="Cat 9 - Pizza Topp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9" l="1"/>
  <c r="I66" i="9"/>
  <c r="H66" i="9"/>
  <c r="G66" i="9"/>
  <c r="F66" i="9"/>
  <c r="E66" i="9"/>
  <c r="J65" i="9"/>
  <c r="I65" i="9"/>
  <c r="I67" i="9" s="1"/>
  <c r="I68" i="9" s="1"/>
  <c r="H65" i="9"/>
  <c r="G65" i="9"/>
  <c r="F65" i="9"/>
  <c r="E65" i="9"/>
  <c r="E67" i="9" s="1"/>
  <c r="E68" i="9" s="1"/>
  <c r="J60" i="9"/>
  <c r="I60" i="9"/>
  <c r="H60" i="9"/>
  <c r="G60" i="9"/>
  <c r="F60" i="9"/>
  <c r="E60" i="9"/>
  <c r="J53" i="9"/>
  <c r="I53" i="9"/>
  <c r="H53" i="9"/>
  <c r="G53" i="9"/>
  <c r="F53" i="9"/>
  <c r="E53" i="9"/>
  <c r="J45" i="9"/>
  <c r="I45" i="9"/>
  <c r="H45" i="9"/>
  <c r="G45" i="9"/>
  <c r="F45" i="9"/>
  <c r="E45" i="9"/>
  <c r="J37" i="9"/>
  <c r="I37" i="9"/>
  <c r="H37" i="9"/>
  <c r="G37" i="9"/>
  <c r="F37" i="9"/>
  <c r="E37" i="9"/>
  <c r="J30" i="9"/>
  <c r="I30" i="9"/>
  <c r="H30" i="9"/>
  <c r="G30" i="9"/>
  <c r="F30" i="9"/>
  <c r="E30" i="9"/>
  <c r="J24" i="9"/>
  <c r="I24" i="9"/>
  <c r="H24" i="9"/>
  <c r="G24" i="9"/>
  <c r="F24" i="9"/>
  <c r="E24" i="9"/>
  <c r="I87" i="7"/>
  <c r="H87" i="7"/>
  <c r="G87" i="7"/>
  <c r="F87" i="7"/>
  <c r="E87" i="7"/>
  <c r="I86" i="7"/>
  <c r="I88" i="7" s="1"/>
  <c r="I89" i="7" s="1"/>
  <c r="H86" i="7"/>
  <c r="G86" i="7"/>
  <c r="G88" i="7" s="1"/>
  <c r="G89" i="7" s="1"/>
  <c r="F86" i="7"/>
  <c r="E86" i="7"/>
  <c r="E88" i="7" s="1"/>
  <c r="E89" i="7" s="1"/>
  <c r="I78" i="7"/>
  <c r="H78" i="7"/>
  <c r="G78" i="7"/>
  <c r="F78" i="7"/>
  <c r="E78" i="7"/>
  <c r="I69" i="7"/>
  <c r="H69" i="7"/>
  <c r="G69" i="7"/>
  <c r="F69" i="7"/>
  <c r="E69" i="7"/>
  <c r="I57" i="7"/>
  <c r="H57" i="7"/>
  <c r="G57" i="7"/>
  <c r="F57" i="7"/>
  <c r="E57" i="7"/>
  <c r="I45" i="7"/>
  <c r="H45" i="7"/>
  <c r="G45" i="7"/>
  <c r="F45" i="7"/>
  <c r="E45" i="7"/>
  <c r="I35" i="7"/>
  <c r="H35" i="7"/>
  <c r="G35" i="7"/>
  <c r="F35" i="7"/>
  <c r="E35" i="7"/>
  <c r="I27" i="7"/>
  <c r="H27" i="7"/>
  <c r="G27" i="7"/>
  <c r="F27" i="7"/>
  <c r="E27" i="7"/>
  <c r="F108" i="6"/>
  <c r="F109" i="6" s="1"/>
  <c r="I107" i="6"/>
  <c r="H107" i="6"/>
  <c r="G107" i="6"/>
  <c r="G108" i="6" s="1"/>
  <c r="G109" i="6" s="1"/>
  <c r="F107" i="6"/>
  <c r="E107" i="6"/>
  <c r="I106" i="6"/>
  <c r="I108" i="6" s="1"/>
  <c r="I109" i="6" s="1"/>
  <c r="H106" i="6"/>
  <c r="H108" i="6" s="1"/>
  <c r="H109" i="6" s="1"/>
  <c r="G106" i="6"/>
  <c r="F106" i="6"/>
  <c r="E106" i="6"/>
  <c r="E108" i="6" s="1"/>
  <c r="E109" i="6" s="1"/>
  <c r="E110" i="6" s="1"/>
  <c r="I96" i="6"/>
  <c r="H96" i="6"/>
  <c r="G96" i="6"/>
  <c r="F96" i="6"/>
  <c r="E96" i="6"/>
  <c r="I83" i="6"/>
  <c r="H83" i="6"/>
  <c r="G83" i="6"/>
  <c r="F83" i="6"/>
  <c r="E83" i="6"/>
  <c r="I68" i="6"/>
  <c r="H68" i="6"/>
  <c r="G68" i="6"/>
  <c r="F68" i="6"/>
  <c r="E68" i="6"/>
  <c r="I54" i="6"/>
  <c r="H54" i="6"/>
  <c r="G54" i="6"/>
  <c r="F54" i="6"/>
  <c r="E54" i="6"/>
  <c r="I39" i="6"/>
  <c r="H39" i="6"/>
  <c r="G39" i="6"/>
  <c r="F39" i="6"/>
  <c r="E39" i="6"/>
  <c r="I27" i="6"/>
  <c r="H27" i="6"/>
  <c r="G27" i="6"/>
  <c r="F27" i="6"/>
  <c r="E27" i="6"/>
  <c r="I95" i="5"/>
  <c r="I96" i="5" s="1"/>
  <c r="E95" i="5"/>
  <c r="E96" i="5" s="1"/>
  <c r="I94" i="5"/>
  <c r="H94" i="5"/>
  <c r="G94" i="5"/>
  <c r="F94" i="5"/>
  <c r="F95" i="5" s="1"/>
  <c r="F96" i="5" s="1"/>
  <c r="E94" i="5"/>
  <c r="I93" i="5"/>
  <c r="H93" i="5"/>
  <c r="H95" i="5" s="1"/>
  <c r="H96" i="5" s="1"/>
  <c r="H97" i="5" s="1"/>
  <c r="G93" i="5"/>
  <c r="G95" i="5" s="1"/>
  <c r="G96" i="5" s="1"/>
  <c r="F93" i="5"/>
  <c r="E93" i="5"/>
  <c r="I85" i="5"/>
  <c r="H85" i="5"/>
  <c r="G85" i="5"/>
  <c r="F85" i="5"/>
  <c r="E85" i="5"/>
  <c r="I73" i="5"/>
  <c r="H73" i="5"/>
  <c r="G73" i="5"/>
  <c r="F73" i="5"/>
  <c r="E73" i="5"/>
  <c r="I61" i="5"/>
  <c r="H61" i="5"/>
  <c r="G61" i="5"/>
  <c r="F61" i="5"/>
  <c r="E61" i="5"/>
  <c r="I45" i="5"/>
  <c r="H45" i="5"/>
  <c r="G45" i="5"/>
  <c r="F45" i="5"/>
  <c r="E45" i="5"/>
  <c r="I34" i="5"/>
  <c r="H34" i="5"/>
  <c r="G34" i="5"/>
  <c r="F34" i="5"/>
  <c r="E34" i="5"/>
  <c r="I24" i="5"/>
  <c r="H24" i="5"/>
  <c r="G24" i="5"/>
  <c r="F24" i="5"/>
  <c r="E24" i="5"/>
  <c r="H92" i="4"/>
  <c r="H93" i="4" s="1"/>
  <c r="I91" i="4"/>
  <c r="I92" i="4" s="1"/>
  <c r="I93" i="4" s="1"/>
  <c r="H91" i="4"/>
  <c r="G91" i="4"/>
  <c r="F91" i="4"/>
  <c r="E91" i="4"/>
  <c r="E92" i="4" s="1"/>
  <c r="E93" i="4" s="1"/>
  <c r="I90" i="4"/>
  <c r="H90" i="4"/>
  <c r="G90" i="4"/>
  <c r="G92" i="4" s="1"/>
  <c r="G93" i="4" s="1"/>
  <c r="F90" i="4"/>
  <c r="F92" i="4" s="1"/>
  <c r="F93" i="4" s="1"/>
  <c r="F94" i="4" s="1"/>
  <c r="E90" i="4"/>
  <c r="I82" i="4"/>
  <c r="H82" i="4"/>
  <c r="G82" i="4"/>
  <c r="F82" i="4"/>
  <c r="E82" i="4"/>
  <c r="I74" i="4"/>
  <c r="H74" i="4"/>
  <c r="G74" i="4"/>
  <c r="F74" i="4"/>
  <c r="E74" i="4"/>
  <c r="I63" i="4"/>
  <c r="H63" i="4"/>
  <c r="G63" i="4"/>
  <c r="F63" i="4"/>
  <c r="E63" i="4"/>
  <c r="I53" i="4"/>
  <c r="H53" i="4"/>
  <c r="G53" i="4"/>
  <c r="F53" i="4"/>
  <c r="E53" i="4"/>
  <c r="I44" i="4"/>
  <c r="H44" i="4"/>
  <c r="G44" i="4"/>
  <c r="F44" i="4"/>
  <c r="E44" i="4"/>
  <c r="I36" i="4"/>
  <c r="H36" i="4"/>
  <c r="G36" i="4"/>
  <c r="F36" i="4"/>
  <c r="E36" i="4"/>
  <c r="I27" i="4"/>
  <c r="H27" i="4"/>
  <c r="G27" i="4"/>
  <c r="F27" i="4"/>
  <c r="E27" i="4"/>
  <c r="H118" i="3"/>
  <c r="H119" i="3" s="1"/>
  <c r="I117" i="3"/>
  <c r="I118" i="3" s="1"/>
  <c r="I119" i="3" s="1"/>
  <c r="H117" i="3"/>
  <c r="G117" i="3"/>
  <c r="F117" i="3"/>
  <c r="E117" i="3"/>
  <c r="E118" i="3" s="1"/>
  <c r="E119" i="3" s="1"/>
  <c r="I116" i="3"/>
  <c r="H116" i="3"/>
  <c r="G116" i="3"/>
  <c r="G118" i="3" s="1"/>
  <c r="G119" i="3" s="1"/>
  <c r="F116" i="3"/>
  <c r="F118" i="3" s="1"/>
  <c r="F119" i="3" s="1"/>
  <c r="F120" i="3" s="1"/>
  <c r="E116" i="3"/>
  <c r="I97" i="3"/>
  <c r="H97" i="3"/>
  <c r="G97" i="3"/>
  <c r="F97" i="3"/>
  <c r="E97" i="3"/>
  <c r="I84" i="3"/>
  <c r="H84" i="3"/>
  <c r="G84" i="3"/>
  <c r="F84" i="3"/>
  <c r="E84" i="3"/>
  <c r="I69" i="3"/>
  <c r="H69" i="3"/>
  <c r="G69" i="3"/>
  <c r="F69" i="3"/>
  <c r="E69" i="3"/>
  <c r="I53" i="3"/>
  <c r="H53" i="3"/>
  <c r="G53" i="3"/>
  <c r="F53" i="3"/>
  <c r="E53" i="3"/>
  <c r="I40" i="3"/>
  <c r="H40" i="3"/>
  <c r="G40" i="3"/>
  <c r="F40" i="3"/>
  <c r="E40" i="3"/>
  <c r="I28" i="3"/>
  <c r="H28" i="3"/>
  <c r="G28" i="3"/>
  <c r="F28" i="3"/>
  <c r="E28" i="3"/>
  <c r="G85" i="2"/>
  <c r="G86" i="2" s="1"/>
  <c r="G87" i="2" s="1"/>
  <c r="I84" i="2"/>
  <c r="H84" i="2"/>
  <c r="H85" i="2" s="1"/>
  <c r="H86" i="2" s="1"/>
  <c r="G84" i="2"/>
  <c r="F84" i="2"/>
  <c r="E84" i="2"/>
  <c r="I83" i="2"/>
  <c r="I85" i="2" s="1"/>
  <c r="I86" i="2" s="1"/>
  <c r="H83" i="2"/>
  <c r="G83" i="2"/>
  <c r="F83" i="2"/>
  <c r="F85" i="2" s="1"/>
  <c r="F86" i="2" s="1"/>
  <c r="E83" i="2"/>
  <c r="E85" i="2" s="1"/>
  <c r="E86" i="2" s="1"/>
  <c r="I74" i="2"/>
  <c r="H74" i="2"/>
  <c r="G74" i="2"/>
  <c r="F74" i="2"/>
  <c r="E74" i="2"/>
  <c r="I65" i="2"/>
  <c r="H65" i="2"/>
  <c r="G65" i="2"/>
  <c r="F65" i="2"/>
  <c r="E65" i="2"/>
  <c r="I55" i="2"/>
  <c r="H55" i="2"/>
  <c r="G55" i="2"/>
  <c r="F55" i="2"/>
  <c r="E55" i="2"/>
  <c r="I44" i="2"/>
  <c r="H44" i="2"/>
  <c r="G44" i="2"/>
  <c r="F44" i="2"/>
  <c r="E44" i="2"/>
  <c r="I35" i="2"/>
  <c r="H35" i="2"/>
  <c r="G35" i="2"/>
  <c r="F35" i="2"/>
  <c r="E35" i="2"/>
  <c r="I27" i="2"/>
  <c r="H27" i="2"/>
  <c r="G27" i="2"/>
  <c r="F27" i="2"/>
  <c r="E27" i="2"/>
  <c r="F115" i="1"/>
  <c r="F116" i="1" s="1"/>
  <c r="I114" i="1"/>
  <c r="H114" i="1"/>
  <c r="G114" i="1"/>
  <c r="F114" i="1"/>
  <c r="E114" i="1"/>
  <c r="I113" i="1"/>
  <c r="I115" i="1" s="1"/>
  <c r="I116" i="1" s="1"/>
  <c r="H113" i="1"/>
  <c r="H115" i="1" s="1"/>
  <c r="H116" i="1" s="1"/>
  <c r="H117" i="1" s="1"/>
  <c r="G113" i="1"/>
  <c r="G115" i="1" s="1"/>
  <c r="G116" i="1" s="1"/>
  <c r="F113" i="1"/>
  <c r="E113" i="1"/>
  <c r="E115" i="1" s="1"/>
  <c r="E116" i="1" s="1"/>
  <c r="I95" i="1"/>
  <c r="H95" i="1"/>
  <c r="G95" i="1"/>
  <c r="F95" i="1"/>
  <c r="E95" i="1"/>
  <c r="I84" i="1"/>
  <c r="H84" i="1"/>
  <c r="G84" i="1"/>
  <c r="F84" i="1"/>
  <c r="E84" i="1"/>
  <c r="I69" i="1"/>
  <c r="H69" i="1"/>
  <c r="G69" i="1"/>
  <c r="F69" i="1"/>
  <c r="E69" i="1"/>
  <c r="I57" i="1"/>
  <c r="H57" i="1"/>
  <c r="G57" i="1"/>
  <c r="F57" i="1"/>
  <c r="E57" i="1"/>
  <c r="I44" i="1"/>
  <c r="H44" i="1"/>
  <c r="G44" i="1"/>
  <c r="F44" i="1"/>
  <c r="E44" i="1"/>
  <c r="I31" i="1"/>
  <c r="H31" i="1"/>
  <c r="G31" i="1"/>
  <c r="F31" i="1"/>
  <c r="E31" i="1"/>
  <c r="I94" i="8"/>
  <c r="I95" i="8" s="1"/>
  <c r="E94" i="8"/>
  <c r="E95" i="8" s="1"/>
  <c r="I93" i="8"/>
  <c r="H93" i="8"/>
  <c r="G93" i="8"/>
  <c r="F93" i="8"/>
  <c r="E93" i="8"/>
  <c r="I92" i="8"/>
  <c r="H92" i="8"/>
  <c r="H94" i="8" s="1"/>
  <c r="H95" i="8" s="1"/>
  <c r="G92" i="8"/>
  <c r="G94" i="8" s="1"/>
  <c r="G95" i="8" s="1"/>
  <c r="F92" i="8"/>
  <c r="F94" i="8" s="1"/>
  <c r="F95" i="8" s="1"/>
  <c r="F96" i="8" s="1"/>
  <c r="E92" i="8"/>
  <c r="I84" i="8"/>
  <c r="H84" i="8"/>
  <c r="G84" i="8"/>
  <c r="F84" i="8"/>
  <c r="E84" i="8"/>
  <c r="I75" i="8"/>
  <c r="H75" i="8"/>
  <c r="G75" i="8"/>
  <c r="F75" i="8"/>
  <c r="E75" i="8"/>
  <c r="I61" i="8"/>
  <c r="H61" i="8"/>
  <c r="G61" i="8"/>
  <c r="F61" i="8"/>
  <c r="E61" i="8"/>
  <c r="I50" i="8"/>
  <c r="H50" i="8"/>
  <c r="G50" i="8"/>
  <c r="F50" i="8"/>
  <c r="E50" i="8"/>
  <c r="I38" i="8"/>
  <c r="H38" i="8"/>
  <c r="G38" i="8"/>
  <c r="F38" i="8"/>
  <c r="E38" i="8"/>
  <c r="I27" i="8"/>
  <c r="H27" i="8"/>
  <c r="G27" i="8"/>
  <c r="F27" i="8"/>
  <c r="E27" i="8"/>
  <c r="F88" i="7" l="1"/>
  <c r="F89" i="7" s="1"/>
  <c r="E90" i="7" s="1"/>
  <c r="H88" i="7"/>
  <c r="H89" i="7" s="1"/>
  <c r="F67" i="9"/>
  <c r="F68" i="9" s="1"/>
  <c r="J67" i="9"/>
  <c r="J68" i="9" s="1"/>
  <c r="G67" i="9"/>
  <c r="G68" i="9" s="1"/>
  <c r="F69" i="9" s="1"/>
  <c r="H67" i="9"/>
  <c r="H68" i="9" s="1"/>
  <c r="E120" i="3"/>
  <c r="I120" i="3"/>
  <c r="G97" i="5"/>
  <c r="F97" i="5"/>
  <c r="E97" i="5"/>
  <c r="I110" i="6"/>
  <c r="I117" i="1"/>
  <c r="I97" i="5"/>
  <c r="H90" i="7"/>
  <c r="E96" i="8"/>
  <c r="G120" i="3"/>
  <c r="H96" i="8"/>
  <c r="I87" i="2"/>
  <c r="E94" i="4"/>
  <c r="I94" i="4"/>
  <c r="F110" i="6"/>
  <c r="F90" i="7"/>
  <c r="G96" i="8"/>
  <c r="E117" i="1"/>
  <c r="H120" i="3"/>
  <c r="I96" i="8"/>
  <c r="E87" i="2"/>
  <c r="H87" i="2"/>
  <c r="G117" i="1"/>
  <c r="F117" i="1"/>
  <c r="F87" i="2"/>
  <c r="G94" i="4"/>
  <c r="H94" i="4"/>
  <c r="H110" i="6"/>
  <c r="G110" i="6"/>
  <c r="G90" i="7"/>
  <c r="I90" i="7" l="1"/>
  <c r="J69" i="9"/>
  <c r="E69" i="9"/>
  <c r="H69" i="9"/>
  <c r="I69" i="9"/>
  <c r="G69" i="9"/>
</calcChain>
</file>

<file path=xl/sharedStrings.xml><?xml version="1.0" encoding="utf-8"?>
<sst xmlns="http://schemas.openxmlformats.org/spreadsheetml/2006/main" count="2363" uniqueCount="949">
  <si>
    <t>Dawn Foods Corp. Ltd. — Quality Assurance Department</t>
  </si>
  <si>
    <t>Competitive Sensory Evaluation Form (5-Sample Comparison) — Kebabs</t>
  </si>
  <si>
    <t>Products: Seekh Kebab  |  Gola Kebab</t>
  </si>
  <si>
    <t>Product Category:</t>
  </si>
  <si>
    <t>Date:</t>
  </si>
  <si>
    <t>Evaluation Time:</t>
  </si>
  <si>
    <t>Panelist Name:</t>
  </si>
  <si>
    <t>Panel Session No.:</t>
  </si>
  <si>
    <t>Sample Identification (min. 5 samples for competitive comparison)</t>
  </si>
  <si>
    <t>Identifier</t>
  </si>
  <si>
    <t>Sample A</t>
  </si>
  <si>
    <t>Sample B</t>
  </si>
  <si>
    <t>Sample C</t>
  </si>
  <si>
    <t>Sample D</t>
  </si>
  <si>
    <t>Sample E</t>
  </si>
  <si>
    <t>Sample Code</t>
  </si>
  <si>
    <t>Product / Brand Name</t>
  </si>
  <si>
    <t>Batch No. / Source</t>
  </si>
  <si>
    <t>Plant / Line</t>
  </si>
  <si>
    <t>Scoring Scale:  1 = Unacceptable  |  2 = Just OK  |  3 = Target (Ideal)  |  4 = Just OK  |  5 = Unacceptable.  Reference columns show the descriptor wording for the low extreme (1–2), the target/ideal (3), and the high extreme (4–5) for each attribute. Enter the numeric score (1–5) for EACH sample.</t>
  </si>
  <si>
    <t>A. External Appearance Evaluation</t>
  </si>
  <si>
    <t>Attribute</t>
  </si>
  <si>
    <t>1–2  (Below Target)</t>
  </si>
  <si>
    <t>3  (Target / Ideal)</t>
  </si>
  <si>
    <t>4–5  (Above Target)</t>
  </si>
  <si>
    <t>Surface Color</t>
  </si>
  <si>
    <t>Very Pale / Uncooked / Slightly Pale</t>
  </si>
  <si>
    <t>Target (Brown / Charred)</t>
  </si>
  <si>
    <t>Slightly Dark / Very Dark / Burnt</t>
  </si>
  <si>
    <t>Color Uniformity</t>
  </si>
  <si>
    <t>Highly Uneven (Pale) / Slightly Uneven</t>
  </si>
  <si>
    <t>Uniform</t>
  </si>
  <si>
    <t>Slightly Uneven (Dark) / Highly Uneven (Burnt)</t>
  </si>
  <si>
    <t>Char / Grill Marks*</t>
  </si>
  <si>
    <t>No Char Marks / Faint Marks</t>
  </si>
  <si>
    <t>Target (Even Char Marks)</t>
  </si>
  <si>
    <t>Heavy Char Marks / Excessively Burnt</t>
  </si>
  <si>
    <t>Surface Texture</t>
  </si>
  <si>
    <t>Very Smooth (Underdone) / Slightly Smooth</t>
  </si>
  <si>
    <t>Target (Light Crust)</t>
  </si>
  <si>
    <t>Slightly Rough / Very Rough / Cracked</t>
  </si>
  <si>
    <t>Shape Uniformity</t>
  </si>
  <si>
    <t>Very Irregular / Broken / Slightly Irregular</t>
  </si>
  <si>
    <t>Target (Uniform Shape)</t>
  </si>
  <si>
    <t>Slightly Distorted / Highly Distorted</t>
  </si>
  <si>
    <t>Size Consistency</t>
  </si>
  <si>
    <t>Much Smaller / Slightly Small</t>
  </si>
  <si>
    <t>Target Size</t>
  </si>
  <si>
    <t>Slightly Large / Much Larger</t>
  </si>
  <si>
    <t>Surface Oiliness</t>
  </si>
  <si>
    <t>No Oiliness / Very Dry / Slight Sheen</t>
  </si>
  <si>
    <t>Target (Light Sheen)</t>
  </si>
  <si>
    <t>Oily / Excessively Oily / Wet</t>
  </si>
  <si>
    <t>Section Average — A</t>
  </si>
  <si>
    <t>* Char / Grill Marks: evaluate as a positive attribute for both Seekh and Gola Kebab.</t>
  </si>
  <si>
    <t>B. Internal Appearance / Structure Evaluation</t>
  </si>
  <si>
    <t>Internal Color</t>
  </si>
  <si>
    <t>Very Pink / Raw Look / Slightly Pink</t>
  </si>
  <si>
    <t>Target (Evenly Cooked)</t>
  </si>
  <si>
    <t>Slightly Grey / Overcooked / Very Grey</t>
  </si>
  <si>
    <t>Moisture (Internal)</t>
  </si>
  <si>
    <t>Very Dry / Crumbly / Slightly Dry</t>
  </si>
  <si>
    <t>Target (Moist Look)</t>
  </si>
  <si>
    <t>Slightly Wet / Very Wet / Leaking Fat</t>
  </si>
  <si>
    <t>Minced Texture</t>
  </si>
  <si>
    <t>Very Coarse / Chunky / Slightly Coarse</t>
  </si>
  <si>
    <t>Target (Fine &amp; Even)</t>
  </si>
  <si>
    <t>Slightly Fine / Too Fine / Paste-Like</t>
  </si>
  <si>
    <t>Fat Pockets</t>
  </si>
  <si>
    <t>Excessive Fat Pockets / Several Fat Pockets</t>
  </si>
  <si>
    <t>Target (Minimal Fat)</t>
  </si>
  <si>
    <t>Few Fat Pockets / No Fat (Very Lean / Dry)</t>
  </si>
  <si>
    <t>Structural Integrity</t>
  </si>
  <si>
    <t>Fell Apart / Broken / Slightly Loose</t>
  </si>
  <si>
    <t>Target (Cohesive)</t>
  </si>
  <si>
    <t>Slightly Firm / Very Firm / Dense</t>
  </si>
  <si>
    <t>Shape Retention*</t>
  </si>
  <si>
    <t>No Shape (Collapsed) / Poor Shape Retention</t>
  </si>
  <si>
    <t>Target</t>
  </si>
  <si>
    <t>Good Shape / Overly Rigid / Hard</t>
  </si>
  <si>
    <t>Section Average — B</t>
  </si>
  <si>
    <t>* Shape Retention: critical for Seekh Kebab (cylindrical); Gola Kebab evaluated as round.</t>
  </si>
  <si>
    <t>C. Aroma Evaluation</t>
  </si>
  <si>
    <t>Grilled / Char Aroma</t>
  </si>
  <si>
    <t>No Grilled Aroma / Slight Grilled Aroma</t>
  </si>
  <si>
    <t>Target (Pleasant Char)</t>
  </si>
  <si>
    <t>Strong Grilled Aroma / Burnt / Acrid Aroma</t>
  </si>
  <si>
    <t>Meat / Chicken Aroma</t>
  </si>
  <si>
    <t>No Meat Aroma / Weak Meat Aroma</t>
  </si>
  <si>
    <t>Target (Clear Meat)</t>
  </si>
  <si>
    <t>Strong Meat Aroma / Off / Sour Meat</t>
  </si>
  <si>
    <t>Spice Aroma</t>
  </si>
  <si>
    <t>No Spice Aroma / Weak Spice Aroma</t>
  </si>
  <si>
    <t>Target (Balanced)</t>
  </si>
  <si>
    <t>Strong Spice Aroma / Overpowering / Pungent</t>
  </si>
  <si>
    <t>Fat / Oily Aroma</t>
  </si>
  <si>
    <t>No Fat Aroma / Slight Fat Aroma</t>
  </si>
  <si>
    <t>Strong Fat Aroma / Rancid / Oxidized</t>
  </si>
  <si>
    <t>Herbal Aroma</t>
  </si>
  <si>
    <t>None / Faint</t>
  </si>
  <si>
    <t>Target (Coriander / Herb)</t>
  </si>
  <si>
    <t>Strong / Overpowering</t>
  </si>
  <si>
    <t>Onion / Garlic Aroma</t>
  </si>
  <si>
    <t>Strong / Overpowering / Pungent</t>
  </si>
  <si>
    <t>Smoky Aroma</t>
  </si>
  <si>
    <t>No Smoky Aroma / Faint Smoky Aroma</t>
  </si>
  <si>
    <t>Target (Mild Smoky)</t>
  </si>
  <si>
    <t>Strong Smoky Aroma / Acrid / Overpowering</t>
  </si>
  <si>
    <t>Section Average — C</t>
  </si>
  <si>
    <t>D. Mouthfeel / Texture Evaluation</t>
  </si>
  <si>
    <t>Softness / Tenderness</t>
  </si>
  <si>
    <t>Very Tough / Rubbery / Slightly Tough</t>
  </si>
  <si>
    <t>Target (Tender)</t>
  </si>
  <si>
    <t>Slightly Soft / Very Soft / Mushy</t>
  </si>
  <si>
    <t>Juiciness</t>
  </si>
  <si>
    <t>Very Dry / Slightly Dry</t>
  </si>
  <si>
    <t>Target (Juicy)</t>
  </si>
  <si>
    <t>Slightly Wet / Very Wet / Falling Apart</t>
  </si>
  <si>
    <t>Chewiness</t>
  </si>
  <si>
    <t>Too Tough (Rubbery) / Slightly Chewy</t>
  </si>
  <si>
    <t>Slightly Easy / Falls Apart / Crumbles</t>
  </si>
  <si>
    <t>Cohesiveness*</t>
  </si>
  <si>
    <t>Crumbles Completely / Slightly Falls Apart</t>
  </si>
  <si>
    <t>Target (Holds Shape)</t>
  </si>
  <si>
    <t>Slightly Too Firm / Very Firm / Dense</t>
  </si>
  <si>
    <t>Fat Mouthfeel</t>
  </si>
  <si>
    <t>No Fat (Very Lean / Dry) / Slight Fat Coating</t>
  </si>
  <si>
    <t>Target (Mild Fat)</t>
  </si>
  <si>
    <t>Heavy Fat Coating / Excessively Greasy</t>
  </si>
  <si>
    <t>Spice Heat / Burn</t>
  </si>
  <si>
    <t>No Heat / Faint Heat</t>
  </si>
  <si>
    <t>Target (Mild Spice)</t>
  </si>
  <si>
    <t>Moderate Heat / Intense Heat / Burning</t>
  </si>
  <si>
    <t>Grain / Minced Texture</t>
  </si>
  <si>
    <t>Too Coarse / Gritty / Slightly Coarse</t>
  </si>
  <si>
    <t>Target (Fine &amp; Smooth)</t>
  </si>
  <si>
    <t>Slightly Pasty / Very Pasty</t>
  </si>
  <si>
    <t>Section Average — D</t>
  </si>
  <si>
    <t>* Cohesiveness: critical for Seekh Kebab; Gola Kebab may be slightly more crumbly.</t>
  </si>
  <si>
    <t>E. Taste Evaluation</t>
  </si>
  <si>
    <t>Saltiness</t>
  </si>
  <si>
    <t>No Salt / Low Salt</t>
  </si>
  <si>
    <t>Target Salt Level</t>
  </si>
  <si>
    <t>Slightly Salty / Too Salty</t>
  </si>
  <si>
    <t>Spiciness</t>
  </si>
  <si>
    <t>No Spice / Low Spice</t>
  </si>
  <si>
    <t>Target Spice Level</t>
  </si>
  <si>
    <t>Slightly High / Very High / Burning</t>
  </si>
  <si>
    <t>Meat / Chicken Flavor</t>
  </si>
  <si>
    <t>No Meat Flavor / Weak Meat Flavor</t>
  </si>
  <si>
    <t>Strong Meat Flavor / Artificial / Off</t>
  </si>
  <si>
    <t>Savory / Umami</t>
  </si>
  <si>
    <t>No Savory / Low Savory</t>
  </si>
  <si>
    <t>Strong Savory / Overpowering</t>
  </si>
  <si>
    <t>Fat / Oily Taste</t>
  </si>
  <si>
    <t>No Fat Taste / Slight Fat Taste</t>
  </si>
  <si>
    <t>Clean Fat Taste</t>
  </si>
  <si>
    <t>Strong Fat Taste / Rancid / Oxidized</t>
  </si>
  <si>
    <t>Herbal / Coriander Taste</t>
  </si>
  <si>
    <t>Onion / Garlic Taste</t>
  </si>
  <si>
    <t>Smoky / Char Taste</t>
  </si>
  <si>
    <t>Strong / Acrid / Bitter</t>
  </si>
  <si>
    <t>Sweetness</t>
  </si>
  <si>
    <t>None / Faint (Target)</t>
  </si>
  <si>
    <t>Slight</t>
  </si>
  <si>
    <t>Noticeable / Overly Sweet</t>
  </si>
  <si>
    <t>Section Average — E</t>
  </si>
  <si>
    <t>F. Aftertaste Evaluation</t>
  </si>
  <si>
    <t>Spice Lingering</t>
  </si>
  <si>
    <t>Pleasant Lingering</t>
  </si>
  <si>
    <t>Strong Lingering / Burning / Painful</t>
  </si>
  <si>
    <t>Smoky / Char Aftertaste</t>
  </si>
  <si>
    <t>Mild (Target)</t>
  </si>
  <si>
    <t>Strong / Acrid / Unpleasant</t>
  </si>
  <si>
    <t>Meat Aftertaste</t>
  </si>
  <si>
    <t>Strong / Off / Sour</t>
  </si>
  <si>
    <t>Oily Aftertaste</t>
  </si>
  <si>
    <t>None / Slight</t>
  </si>
  <si>
    <t>Clean (Target)</t>
  </si>
  <si>
    <t>Strong Oily Coating / Rancid / Unpleasant</t>
  </si>
  <si>
    <t>Residue</t>
  </si>
  <si>
    <t>Heavy Residue / Noticeable Residue</t>
  </si>
  <si>
    <t>Clean</t>
  </si>
  <si>
    <t>Slightly Stripping / Highly Stripping</t>
  </si>
  <si>
    <t>Section Average — F</t>
  </si>
  <si>
    <t>Overall Hedonic Score (panelist holistic judgement, 1–5)</t>
  </si>
  <si>
    <t>Overall Liking</t>
  </si>
  <si>
    <t>Unacceptable / Just OK</t>
  </si>
  <si>
    <t>Target (Ideal)</t>
  </si>
  <si>
    <t>Just OK / Unacceptable</t>
  </si>
  <si>
    <t>Summary &amp; Ranking</t>
  </si>
  <si>
    <t>Metric</t>
  </si>
  <si>
    <t>Average Attribute Score</t>
  </si>
  <si>
    <t>Overall Liking Score</t>
  </si>
  <si>
    <t>Composite Score (Avg.+Overall)/2</t>
  </si>
  <si>
    <t>Deviation from Target |score-3|</t>
  </si>
  <si>
    <t>Rank (1 = Best)</t>
  </si>
  <si>
    <t>Additional Comments / Defect Observations (per sample):</t>
  </si>
  <si>
    <t>Sample A:</t>
  </si>
  <si>
    <t>Sample B:</t>
  </si>
  <si>
    <t>Sample C:</t>
  </si>
  <si>
    <t>Sample D:</t>
  </si>
  <si>
    <t>Sample E:</t>
  </si>
  <si>
    <t>Panelist Signature:</t>
  </si>
  <si>
    <t>Evaluated By:</t>
  </si>
  <si>
    <t>Sensory Evaluation Form  — Bread &amp; Burger Buns</t>
  </si>
  <si>
    <t>Products: Plain Bread  |  Milky Bread  |  Bran Bread  |  Wholewheat Bread  |  Multigrain Bread  |  Burger Bun  |  Brioche Burger Bun  |  Potato Bun</t>
  </si>
  <si>
    <t>Sample Name</t>
  </si>
  <si>
    <t>A. Crust / Surface Appearance Evaluation</t>
  </si>
  <si>
    <t>Surface Darkness</t>
  </si>
  <si>
    <t>Too Light / Pale / Slightly Light</t>
  </si>
  <si>
    <t>Target (Golden Brown)</t>
  </si>
  <si>
    <t>Wrinkling / Bursting</t>
  </si>
  <si>
    <t>Highly Wrinkled / Slightly Wrinkled</t>
  </si>
  <si>
    <t>Smooth</t>
  </si>
  <si>
    <t>Slightly Burst / Highly Burst</t>
  </si>
  <si>
    <t>Risen Top / Dome</t>
  </si>
  <si>
    <t>Very Flat / Slightly Flat</t>
  </si>
  <si>
    <t>Raised / Highly Raised / Split</t>
  </si>
  <si>
    <t>Blistering</t>
  </si>
  <si>
    <t>Many Large Blisters / Few Large Blisters</t>
  </si>
  <si>
    <t>No Blisters</t>
  </si>
  <si>
    <t>Few Small Blisters / Many Small Blisters</t>
  </si>
  <si>
    <t>Crust Softness</t>
  </si>
  <si>
    <t>Very Soft / Fragile / Slightly Soft</t>
  </si>
  <si>
    <t>Slightly Firm / Very Firm / Tough</t>
  </si>
  <si>
    <t>Highly Uneven (Light) / Slightly Uneven (Light)</t>
  </si>
  <si>
    <t>Slightly Uneven (Dark) / Highly Uneven (Dark)</t>
  </si>
  <si>
    <t>Degree of Recovery</t>
  </si>
  <si>
    <t>No Shape Recovery / Partial Recovery</t>
  </si>
  <si>
    <t>Complete Recovery</t>
  </si>
  <si>
    <t>Slight Rebound / Strong Rebound</t>
  </si>
  <si>
    <t>Rate of Recovery</t>
  </si>
  <si>
    <t>Very Slow / Slow</t>
  </si>
  <si>
    <t>Moderate</t>
  </si>
  <si>
    <t>Quick Rebound / Overly Fast</t>
  </si>
  <si>
    <t>Very Irregular / Slightly Irregular</t>
  </si>
  <si>
    <t>Sesame Seed Coverage*</t>
  </si>
  <si>
    <t>No Seeds / Sparse Seeds</t>
  </si>
  <si>
    <t>Uniform Seeds</t>
  </si>
  <si>
    <t>Slightly Clumped / Heavily Clumped</t>
  </si>
  <si>
    <t>Grain / Seed Topping**</t>
  </si>
  <si>
    <t>No Topping Visible / Sparse Topping</t>
  </si>
  <si>
    <t>Uniform Topping</t>
  </si>
  <si>
    <t>* Sesame Seed Coverage: standard Burger Bun only.</t>
  </si>
  <si>
    <t>** Grain / Seed Topping: Multigrain Bread &amp; Wholewheat Bread with visible topping only.</t>
  </si>
  <si>
    <t>B. Crumb / Internal Appearance Evaluation</t>
  </si>
  <si>
    <t>Crumb Color</t>
  </si>
  <si>
    <t>Too Pale / White / Slightly Pale</t>
  </si>
  <si>
    <t>Target (Cream / Off-White)</t>
  </si>
  <si>
    <t>Slightly Yellow / Tan / Too Dark / Tan</t>
  </si>
  <si>
    <t>Cell Structure</t>
  </si>
  <si>
    <t>Too Porous / Open / Slightly Porous</t>
  </si>
  <si>
    <t>Target (Even Cells)</t>
  </si>
  <si>
    <t>Slightly Dense / Too Dense / Compact</t>
  </si>
  <si>
    <t>Cell Uniformity</t>
  </si>
  <si>
    <t>Highly Porous Patches / Slightly Porous Patches</t>
  </si>
  <si>
    <t>Slightly Dense Patches / Highly Dense Patches</t>
  </si>
  <si>
    <t>Springiness (Buns)</t>
  </si>
  <si>
    <t>No Bounce / Collapsed / Low Springiness</t>
  </si>
  <si>
    <t>Slightly Rubbery / Very Rubbery</t>
  </si>
  <si>
    <t>Moist Appearance</t>
  </si>
  <si>
    <t>Slightly Moist / Wet / Gummy</t>
  </si>
  <si>
    <t>Bran Distribution***</t>
  </si>
  <si>
    <t>No Bran Visible / Sparse Bran</t>
  </si>
  <si>
    <t>Uniform Bran</t>
  </si>
  <si>
    <t>Slightly Concentrated / Heavily Concentrated</t>
  </si>
  <si>
    <t>Grain Inclusion****</t>
  </si>
  <si>
    <t>No Grains Visible / Sparse Grains</t>
  </si>
  <si>
    <t>Uniform Grains</t>
  </si>
  <si>
    <t>*** Bran Distribution: Bran Bread only.</t>
  </si>
  <si>
    <t>**** Grain Inclusion: Multigrain &amp; Wholewheat Bread only.</t>
  </si>
  <si>
    <t>Milky / Dairy Aroma</t>
  </si>
  <si>
    <t>No Dairy Aroma / Low Dairy Aroma</t>
  </si>
  <si>
    <t>Slightly Strong / Very Strong</t>
  </si>
  <si>
    <t>Grainy / Wheat Aroma</t>
  </si>
  <si>
    <t>No Grainy Aroma / Low Grainy Aroma</t>
  </si>
  <si>
    <t>Slightly Strong / Raw Flour Aroma</t>
  </si>
  <si>
    <t>Baked Aroma</t>
  </si>
  <si>
    <t>Very Underbaked / Slightly Underbaked</t>
  </si>
  <si>
    <t>Fresh Baked (Ideal)</t>
  </si>
  <si>
    <t>High Toasted Aroma / Burnt Aroma</t>
  </si>
  <si>
    <t>Fermented / Yeast Aroma</t>
  </si>
  <si>
    <t>No Fermentation / Low Fermented</t>
  </si>
  <si>
    <t>Slightly Strong / Pungent Yeasty Aroma</t>
  </si>
  <si>
    <t>Buttery / Egg Aroma*</t>
  </si>
  <si>
    <t>No Buttery Aroma / Low Buttery Aroma</t>
  </si>
  <si>
    <t>Target (Mild)</t>
  </si>
  <si>
    <t>Strong Buttery Aroma / Rancid / Eggy Aroma</t>
  </si>
  <si>
    <t>Bran / Nutty Aroma**</t>
  </si>
  <si>
    <t>No Bran Aroma / Low Bran Aroma</t>
  </si>
  <si>
    <t>Strong Bran Aroma / Raw Bran / Harsh</t>
  </si>
  <si>
    <t>Oily Aroma</t>
  </si>
  <si>
    <t>No Oily Aroma / Low Oily Aroma</t>
  </si>
  <si>
    <t>Slightly Strong / Rancid Aroma</t>
  </si>
  <si>
    <t>* Buttery / Egg Aroma: Brioche Burger Bun &amp; Potato Bun (positive attribute).</t>
  </si>
  <si>
    <t>** Bran / Nutty Aroma: Bran Bread, Wholewheat &amp; Multigrain only.</t>
  </si>
  <si>
    <t>Moistness</t>
  </si>
  <si>
    <t>Very Dry / Dry</t>
  </si>
  <si>
    <t>Moist / Very Moist / Gummy</t>
  </si>
  <si>
    <t>Softness (Initial Bite)</t>
  </si>
  <si>
    <t>Very Hard / Slightly Hard</t>
  </si>
  <si>
    <t>Target (Soft)</t>
  </si>
  <si>
    <t>Slightly Soft / Mushy / Collapses</t>
  </si>
  <si>
    <t>Stickiness / Crumbliness</t>
  </si>
  <si>
    <t>Very Crumbly / Slightly Crumbly</t>
  </si>
  <si>
    <t>Slightly Sticky / Very Sticky</t>
  </si>
  <si>
    <t>Richness / Melt*</t>
  </si>
  <si>
    <t>No Richness / Dry / Low Richness</t>
  </si>
  <si>
    <t>Target (Slight Melt)</t>
  </si>
  <si>
    <t>Rich Coating / Excessively Fatty</t>
  </si>
  <si>
    <t>Grain Texture**</t>
  </si>
  <si>
    <t>No Grain Feel / Slight Grain Feel</t>
  </si>
  <si>
    <t>Target (Pleasant)</t>
  </si>
  <si>
    <t>Noticeable Grains / Harsh / Gritty</t>
  </si>
  <si>
    <t>Effort to Swallow</t>
  </si>
  <si>
    <t>Very Porous / Soft / Slightly Soft</t>
  </si>
  <si>
    <t>Slightly Hard to Swallow / Very Hard to Swallow</t>
  </si>
  <si>
    <t>* Richness / Melt: Brioche Burger Bun &amp; Potato Bun (due to butter / egg / potato content).</t>
  </si>
  <si>
    <t>** Grain Texture: Multigrain &amp; Wholewheat Bread only.</t>
  </si>
  <si>
    <t>Very Low / Low</t>
  </si>
  <si>
    <t>Target Sweetness</t>
  </si>
  <si>
    <t>Slightly High / Overly Sweet</t>
  </si>
  <si>
    <t>Slightly High / Too Salty</t>
  </si>
  <si>
    <t>Baked Taste</t>
  </si>
  <si>
    <t>No Baked Flavor / Slight Baked Flavor</t>
  </si>
  <si>
    <t>Strong Toasted / Burnt / Bitter</t>
  </si>
  <si>
    <t>Fermented Taste</t>
  </si>
  <si>
    <t>No Yeasty Taste / Low Yeasty Taste</t>
  </si>
  <si>
    <t>Slightly Strong Yeast / Highly Fermented / Sour</t>
  </si>
  <si>
    <t>Milky Taste</t>
  </si>
  <si>
    <t>No Milk Taste / Low Milk Taste</t>
  </si>
  <si>
    <t>Strong Milky Taste / Overpowering / Artificial</t>
  </si>
  <si>
    <t>Buttery / Egg Taste*</t>
  </si>
  <si>
    <t>No Buttery Taste / Slight Buttery Taste</t>
  </si>
  <si>
    <t>Strong Buttery Taste / Rancid / Eggy</t>
  </si>
  <si>
    <t>Oily / Fat Taste</t>
  </si>
  <si>
    <t>Grainy / Wheat Taste</t>
  </si>
  <si>
    <t>No Grain Taste / Slight Grain Taste</t>
  </si>
  <si>
    <t>Fresh Wheat Taste</t>
  </si>
  <si>
    <t>Strong Grain Taste / Raw Floury Taste</t>
  </si>
  <si>
    <t>Bran Taste**</t>
  </si>
  <si>
    <t>No Bran Taste / Low Bran Taste</t>
  </si>
  <si>
    <t>Strong Bran Taste / Harsh / Bitter Bran</t>
  </si>
  <si>
    <t>* Buttery / Egg Taste: Brioche Burger Bun &amp; Potato Bun (key positive attribute).</t>
  </si>
  <si>
    <t>** Bran Taste: Bran Bread, Wholewheat &amp; Multigrain only.</t>
  </si>
  <si>
    <t>Astringency</t>
  </si>
  <si>
    <t>Strong Puckering / Slight Puckering</t>
  </si>
  <si>
    <t>Neutral</t>
  </si>
  <si>
    <t>Slight Mouth Coating / Strong Mouth Coating</t>
  </si>
  <si>
    <t>Sweet–Salt Balance</t>
  </si>
  <si>
    <t>Very Sweet Aftertaste / Slightly Sweet</t>
  </si>
  <si>
    <t>Balanced</t>
  </si>
  <si>
    <t>Slightly bitter / Strong bitter Aftertaste</t>
  </si>
  <si>
    <t>Slightly Stripping (Dry) / Highly Stripping (Dry)</t>
  </si>
  <si>
    <t>Bran Aftertaste*</t>
  </si>
  <si>
    <t>Noticeable / Strong / Harsh</t>
  </si>
  <si>
    <t>Buttery Aftertaste**</t>
  </si>
  <si>
    <t>Strong / Rancid / Unpleasant</t>
  </si>
  <si>
    <t>* Bran Aftertaste: Bran Bread, Wholewheat &amp; Multigrain only.</t>
  </si>
  <si>
    <t>** Buttery Aftertaste: Brioche Burger Bun &amp; Potato Bun only.</t>
  </si>
  <si>
    <t>Product-Specific Attribute Guide</t>
  </si>
  <si>
    <t>Plain Bread / Milky Bread:    Evaluate all sections. Skip starred (*/**) specialty attributes.</t>
  </si>
  <si>
    <t>Bran Bread:                   Evaluate Bran Distribution (B), Bran/Nutty Aroma (C), Bran Taste &amp; Bran Aftertaste (F).</t>
  </si>
  <si>
    <t>Wholewheat / Multigrain:      Evaluate Grain Topping (A), Grain Inclusion (B), Bran/Nutty Aroma (C), Grain Texture (D).</t>
  </si>
  <si>
    <t>Burger Bun:                   Evaluate Sesame Seed Coverage (A). Skip buttery/egg and bran attributes.</t>
  </si>
  <si>
    <t>Brioche Burger Bun:           Evaluate Buttery/Egg Aroma, Richness/Melt, Buttery/Egg Taste &amp; Buttery Aftertaste.</t>
  </si>
  <si>
    <t>Potato Bun:                   Same as Brioche; note potato imparting slight yellow crumb colour (acceptable).</t>
  </si>
  <si>
    <t>Competitive Sensory Evaluation Form (5-Sample Comparison) — Shawarma &amp; Tortilla</t>
  </si>
  <si>
    <t>Products: Shawarma  |  Tortilla</t>
  </si>
  <si>
    <t>A. Surface Appearance Evaluation</t>
  </si>
  <si>
    <t>Target (Light Golden)</t>
  </si>
  <si>
    <t>Slightly Dark / Very Dark / Burnt Spots</t>
  </si>
  <si>
    <t>Highly Uneven (Light) / Slightly Uneven</t>
  </si>
  <si>
    <t>Surface Blistering</t>
  </si>
  <si>
    <t>No / Few Tiny Blisters</t>
  </si>
  <si>
    <t>Char Spots*</t>
  </si>
  <si>
    <t>No Char / 1–2 Tiny Spots</t>
  </si>
  <si>
    <t>Target (Few Char Spots)</t>
  </si>
  <si>
    <t>Several Char Spots / Heavily Charred</t>
  </si>
  <si>
    <t>Very Irregular / Torn / Slightly Irregular</t>
  </si>
  <si>
    <t>Target (Round / Oval)</t>
  </si>
  <si>
    <t>Thickness Consistency</t>
  </si>
  <si>
    <t>Too Thin / Transparent / Slightly Thin</t>
  </si>
  <si>
    <t>Target Thickness</t>
  </si>
  <si>
    <t>Slightly Thick / Too Thick / Doughy</t>
  </si>
  <si>
    <t>Very Rough / Cracked / Slightly Rough</t>
  </si>
  <si>
    <t>Slightly Papery / Very Papery / Brittle</t>
  </si>
  <si>
    <t>* Char Spots: characteristic / acceptable for Shawarma; should be absent or minimal for Tortilla.</t>
  </si>
  <si>
    <t>B. Internal Structure Evaluation</t>
  </si>
  <si>
    <t>Too Dark / Grey / Slightly Dark</t>
  </si>
  <si>
    <t>Slightly Yellow / Too Yellow</t>
  </si>
  <si>
    <t>Layering</t>
  </si>
  <si>
    <t>No Layers (Dense) / Slight Layering</t>
  </si>
  <si>
    <t>Target (Distinct Layers)</t>
  </si>
  <si>
    <t>Slightly Open / Very Open / Air Pockets</t>
  </si>
  <si>
    <t>Moisture Appearance</t>
  </si>
  <si>
    <t>Very Dry / Cracked / Slightly Dry</t>
  </si>
  <si>
    <t>Target (Flexible Look)</t>
  </si>
  <si>
    <t>Slightly Moist / Wet / Clammy</t>
  </si>
  <si>
    <t>Baked / Roasted Aroma</t>
  </si>
  <si>
    <t>Toasted Aroma / Burnt Aroma</t>
  </si>
  <si>
    <t>Wheat / Dough Aroma</t>
  </si>
  <si>
    <t>No Wheat Aroma / Low Wheat Aroma</t>
  </si>
  <si>
    <t>Strong Wheat Aroma / Raw Flour Aroma</t>
  </si>
  <si>
    <t>Char / Smoky Aroma*</t>
  </si>
  <si>
    <t>No Smoky Aroma / Slight Smoky Aroma</t>
  </si>
  <si>
    <t>Target (Mild Char)</t>
  </si>
  <si>
    <t>Fermented Aroma</t>
  </si>
  <si>
    <t>No Fermented Aroma / Low Fermented Aroma</t>
  </si>
  <si>
    <t>Slightly Strong / Sour / Pungent Aroma</t>
  </si>
  <si>
    <t>* Char / Smoky Aroma: characteristic for Shawarma; should be absent in Tortilla.</t>
  </si>
  <si>
    <t>Flexibility / Pliability</t>
  </si>
  <si>
    <t>Very Stiff / Cracks / Slightly Stiff</t>
  </si>
  <si>
    <t>Target (Flexible)</t>
  </si>
  <si>
    <t>Slightly Limp / Very Limp / Tears Easily</t>
  </si>
  <si>
    <t>Very Hard / Tough / Slightly Hard</t>
  </si>
  <si>
    <t>Target (Soft &amp; Chewy)</t>
  </si>
  <si>
    <t>Slightly Soft / Mushy / Falls Apart</t>
  </si>
  <si>
    <t>Very Tough / Rubbery / Slightly Chewy</t>
  </si>
  <si>
    <t>Slightly Easy / Falls Apart / No Chew</t>
  </si>
  <si>
    <t>Oiliness / Fat Coating</t>
  </si>
  <si>
    <t>No Fat Coating / Slight Coating</t>
  </si>
  <si>
    <t>Strong Coating / Excessively Greasy</t>
  </si>
  <si>
    <t>Very Difficult / Slightly Difficult</t>
  </si>
  <si>
    <t>Slightly Easy / Very Easy (Too Soft)</t>
  </si>
  <si>
    <t>No Sweetness / Low Sweetness</t>
  </si>
  <si>
    <t>Slightly Sweet / Overly Sweet</t>
  </si>
  <si>
    <t>Baked / Wheat Flavor</t>
  </si>
  <si>
    <t>Char / Smoky Flavor*</t>
  </si>
  <si>
    <t>No Char Flavor / Faint Char Flavor</t>
  </si>
  <si>
    <t>Strong Char Flavor / Acrid / Bitter</t>
  </si>
  <si>
    <t>No Fermented Taste / Low Fermented Taste</t>
  </si>
  <si>
    <t>Slightly Strong Yeast / Sour / Off Taste</t>
  </si>
  <si>
    <t>* Char / Smoky Flavor: characteristic / positive for Shawarma; evaluate absence for Tortilla.</t>
  </si>
  <si>
    <t>No Oily Aftertaste / Faint Oily Coating</t>
  </si>
  <si>
    <t>Strong Oily Coating / Rancid Lingering</t>
  </si>
  <si>
    <t>Char Aftertaste*</t>
  </si>
  <si>
    <t>Mild (Target — Shawarma)</t>
  </si>
  <si>
    <t>* Char Aftertaste: mild lingering acceptable for Shawarma; should be clean for Tortilla.</t>
  </si>
  <si>
    <t>Competitive Sensory Evaluation Form (5-Sample Comparison) — Parathas, Naan &amp; Sheermal</t>
  </si>
  <si>
    <t>Products: Naan  |  Roghni Naan  |  Sheermal  |  Paratha Plain  |  Paratha Aloo  |  Paratha Chicken  |  Paratha Cheese Chicken  |  Paratha Vegetable</t>
  </si>
  <si>
    <t>A. Surface / Crust Appearance Evaluation</t>
  </si>
  <si>
    <t>Surface Color / Darkness</t>
  </si>
  <si>
    <t>Surface Layering / Flakiness*</t>
  </si>
  <si>
    <t>No Layers Visible / Slight Layering</t>
  </si>
  <si>
    <t>Slightly Over-Layered / Excessively Flaky</t>
  </si>
  <si>
    <t>Oiliness / Ghee Sheen**</t>
  </si>
  <si>
    <t>No Sheen / Dry / Low Sheen</t>
  </si>
  <si>
    <t>Target Sheen</t>
  </si>
  <si>
    <t>Slightly Greasy / Excessively Greasy</t>
  </si>
  <si>
    <t>Too Thin / Translucent / Slightly Thin</t>
  </si>
  <si>
    <t>Topping / Garnish***</t>
  </si>
  <si>
    <t>Slightly Clumped / Heavily Clumped / Excess</t>
  </si>
  <si>
    <t>* Layering / Flakiness: Parathas only.</t>
  </si>
  <si>
    <t>** Ghee Sheen: Parathas &amp; Sheermal; for Naan evaluate surface moisture.</t>
  </si>
  <si>
    <t>*** Toppings: Sesame / Nigella seeds for Roghni Naan; Saffron glaze for Sheermal.</t>
  </si>
  <si>
    <t>B. Internal Structure / Crumb Evaluation</t>
  </si>
  <si>
    <t>Target (Creamy White)</t>
  </si>
  <si>
    <t>Slightly Yellow / Too Dark / Yellow</t>
  </si>
  <si>
    <t>Cell / Layer Structure</t>
  </si>
  <si>
    <t>Very Dense / Compact / Slightly Dense</t>
  </si>
  <si>
    <t>Target (Even Layers)</t>
  </si>
  <si>
    <t>Slightly Open / Very Open / Hollow</t>
  </si>
  <si>
    <t>Dough Layering*</t>
  </si>
  <si>
    <t>No Layering / Slight Layering</t>
  </si>
  <si>
    <t>Slightly Uneven / Uneven / Torn Layers</t>
  </si>
  <si>
    <t>Filling Distribution****</t>
  </si>
  <si>
    <t>Filling Absent / Missed / Slightly Uneven</t>
  </si>
  <si>
    <t>Uniform Distribution</t>
  </si>
  <si>
    <t>Slightly Concentrated / Heavily One-Sided</t>
  </si>
  <si>
    <t>Slightly Moist / Wet / Gummy Appearance</t>
  </si>
  <si>
    <t>* Dough Layering: Parathas only.</t>
  </si>
  <si>
    <t>**** Filling Distribution: Aloo, Chicken, Vegetable &amp; Cheese Chicken Paratha only.</t>
  </si>
  <si>
    <t>Underbaked Aroma / Slightly Underbaked</t>
  </si>
  <si>
    <t>Ghee / Oily Aroma</t>
  </si>
  <si>
    <t>No Ghee Aroma / Low Ghee Aroma</t>
  </si>
  <si>
    <t>Target (Mild Ghee)</t>
  </si>
  <si>
    <t>Strong Ghee Aroma / Rancid / Oxidized</t>
  </si>
  <si>
    <t>Dough / Grainy Aroma</t>
  </si>
  <si>
    <t>No Dough Aroma / Low Dough Aroma</t>
  </si>
  <si>
    <t>Strong Grainy Aroma / Raw Flour Aroma</t>
  </si>
  <si>
    <t>Fermented / Yeast Aroma**</t>
  </si>
  <si>
    <t>No Yeasty Aroma / Low Yeasty Aroma</t>
  </si>
  <si>
    <t>Strong Yeasty Aroma / Pungent Yeasty Aroma</t>
  </si>
  <si>
    <t>Filling Aroma****</t>
  </si>
  <si>
    <t>No Filling Aroma / Weak Filling Aroma</t>
  </si>
  <si>
    <t>Strong Filling Aroma / Off / Pungent Aroma</t>
  </si>
  <si>
    <t>Sweet / Milky Aroma*</t>
  </si>
  <si>
    <t>No Sweet Aroma / Low Sweet Aroma</t>
  </si>
  <si>
    <t>Strong Sweet Aroma / Artificial / Sickly Sweet</t>
  </si>
  <si>
    <t>Saffron / Floral Aroma***</t>
  </si>
  <si>
    <t>No Saffron Aroma / Weak Saffron Aroma</t>
  </si>
  <si>
    <t>Strong Saffron Aroma / Artificial / Overpowering</t>
  </si>
  <si>
    <t>* Sweet / Milky Aroma: Sheermal primarily.</t>
  </si>
  <si>
    <t>** Fermented / Yeast Aroma: Naan &amp; Roghni Naan only.</t>
  </si>
  <si>
    <t>*** Saffron / Floral Aroma: Sheermal &amp; Roghni Naan only.</t>
  </si>
  <si>
    <t>**** Filling Aroma: Filled Parathas only.</t>
  </si>
  <si>
    <t>D. Texture / Mouthfeel Evaluation</t>
  </si>
  <si>
    <t>Target (Soft &amp; Pliable)</t>
  </si>
  <si>
    <t>Flakiness / Layered Texture*</t>
  </si>
  <si>
    <t>No Flakiness / Slight Flakiness</t>
  </si>
  <si>
    <t>Target (Crisp Layers)</t>
  </si>
  <si>
    <t>Slightly Over-Flaky / Crumbles Excessively</t>
  </si>
  <si>
    <t>Target (Moist)</t>
  </si>
  <si>
    <t>Moist / Wet / Greasy</t>
  </si>
  <si>
    <t>Oiliness / Ghee Coating</t>
  </si>
  <si>
    <t>No Fat Coating / Slight Fat Coating</t>
  </si>
  <si>
    <t>Strong Fat Coating / Excessively Greasy</t>
  </si>
  <si>
    <t>Stickiness</t>
  </si>
  <si>
    <t>No Stickiness / Slightly Sticky</t>
  </si>
  <si>
    <t>Sticky / Highly Sticky / Gummy</t>
  </si>
  <si>
    <t>Filling Texture****</t>
  </si>
  <si>
    <t>Dry / Crumbly Filling / Slightly Dry</t>
  </si>
  <si>
    <t>Target (Moist, Cohesive)</t>
  </si>
  <si>
    <t>Slightly Wet / Watery / Soggy Filling</t>
  </si>
  <si>
    <t>Very Easy (Too Soft) / Easy</t>
  </si>
  <si>
    <t>Slightly Difficult / Very Difficult</t>
  </si>
  <si>
    <t>* Flakiness: Parathas only.</t>
  </si>
  <si>
    <t>**** Filling Texture: Filled Parathas only.</t>
  </si>
  <si>
    <t>No Salt Taste / Low Salt</t>
  </si>
  <si>
    <t>Slightly High Salt / Too Salty</t>
  </si>
  <si>
    <t>Sweetness*</t>
  </si>
  <si>
    <t>Baked / Roasted Flavor</t>
  </si>
  <si>
    <t>Strong Toasted Flavor / Burnt / Bitter Flavor</t>
  </si>
  <si>
    <t>Ghee / Fat Taste</t>
  </si>
  <si>
    <t>Dough / Wheat Flavor</t>
  </si>
  <si>
    <t>Fermented / Yeast Taste**</t>
  </si>
  <si>
    <t>Strong Yeasty Taste / Sour / Over-Fermented</t>
  </si>
  <si>
    <t>Filling Taste****</t>
  </si>
  <si>
    <t>No Filling Flavor / Weak Filling Flavor</t>
  </si>
  <si>
    <t>Target (Well-Seasoned)</t>
  </si>
  <si>
    <t>Strong Filling Flavor / Overpowering / Off</t>
  </si>
  <si>
    <t>Milky / Sweet Base Taste*</t>
  </si>
  <si>
    <t>No Milky Taste / Low Milky Taste</t>
  </si>
  <si>
    <t>Strong Milky Taste / Artificial / Cloying</t>
  </si>
  <si>
    <t>Saffron / Floral Taste***</t>
  </si>
  <si>
    <t>No Saffron Taste / Weak Saffron Taste</t>
  </si>
  <si>
    <t>Strong Saffron Taste / Artificial / Bitter</t>
  </si>
  <si>
    <t>* Sweetness &amp; Milky/Sweet Base: Sheermal primary; Roghni Naan secondary.</t>
  </si>
  <si>
    <t>** Fermented / Yeast Taste: Naan &amp; Roghni Naan only.</t>
  </si>
  <si>
    <t>*** Saffron / Floral Taste: Sheermal &amp; Roghni Naan.</t>
  </si>
  <si>
    <t>**** Filling Taste: Filled Parathas only.</t>
  </si>
  <si>
    <t>Slightly Salty / Strong Salty Aftertaste</t>
  </si>
  <si>
    <t>Slightly Stripping / Highly Stripping (Dry)</t>
  </si>
  <si>
    <t>Oily / Ghee Aftertaste</t>
  </si>
  <si>
    <t>No Oily Aftertaste / Slight Oily Coating</t>
  </si>
  <si>
    <t>Filling Aftertaste****</t>
  </si>
  <si>
    <t>No Filling Aftertaste / Faint Aftertaste</t>
  </si>
  <si>
    <t>Strong Aftertaste / Off / Pungent</t>
  </si>
  <si>
    <t>**** Filling Aftertaste: Filled Parathas only.</t>
  </si>
  <si>
    <t>Naan:                         Evaluate Yeast attributes (**). Skip Flakiness, Filling &amp; Saffron attrs.</t>
  </si>
  <si>
    <t>Roghni Naan:                  As Naan. Also evaluate Sesame/Nigella Topping (A) and Saffron Aroma (C).</t>
  </si>
  <si>
    <t>Sheermal:                     Evaluate Saffron (***) and Sweetness/Milky (*) attrs. Skip Filling &amp; Yeast.</t>
  </si>
  <si>
    <t>Paratha Plain:                Skip all Filling (****) attributes.</t>
  </si>
  <si>
    <t>Paratha Aloo:                 All sections incl. Filling. Note potato moisture &amp; spice balance.</t>
  </si>
  <si>
    <t>Paratha Chicken:              All sections incl. Filling. Note chicken texture &amp; seasoning.</t>
  </si>
  <si>
    <t>Paratha Vegetable:            All sections incl. Filling. Note vegetable crunch &amp; seasoning.</t>
  </si>
  <si>
    <t>Paratha Cheese Chicken:       All sections incl. Filling. Evaluate cheese melt, pull &amp; aroma.</t>
  </si>
  <si>
    <t>Competitive Sensory Evaluation Form (5-Sample Comparison) — Samosas</t>
  </si>
  <si>
    <t>Products: Aloo Samosa  |  Chicken Samosa</t>
  </si>
  <si>
    <t>A. Shell / Crust Appearance Evaluation</t>
  </si>
  <si>
    <t>Shell Color</t>
  </si>
  <si>
    <t>Too Pale / Unfried / Slightly Pale</t>
  </si>
  <si>
    <t>Surface Texture / Blistering</t>
  </si>
  <si>
    <t>Very Smooth / No Bubbles / Slight Blistering</t>
  </si>
  <si>
    <t>Target (Light Blisters)</t>
  </si>
  <si>
    <t>Heavy Blistering / Rough / Cracked Shell</t>
  </si>
  <si>
    <t>Shell Integrity</t>
  </si>
  <si>
    <t>Burst Open / Torn / Slightly Open at Seam</t>
  </si>
  <si>
    <t>Intact &amp; Sealed</t>
  </si>
  <si>
    <t>Slightly Over-Sealed / Very Thick Sealed Edge</t>
  </si>
  <si>
    <t>Target (Triangle / Cone)</t>
  </si>
  <si>
    <t>Oiliness (External)</t>
  </si>
  <si>
    <t>No Oiliness (Dry) / Slight Oiliness</t>
  </si>
  <si>
    <t>Oily / Excessively Oily / Greasy</t>
  </si>
  <si>
    <t>B. Shell / Pastry Texture Evaluation</t>
  </si>
  <si>
    <t>Crispness</t>
  </si>
  <si>
    <t>Not Crisp / Soggy / Slightly Soft</t>
  </si>
  <si>
    <t>Target (Crisp)</t>
  </si>
  <si>
    <t>Very Crisp / Excessively Hard / Brittle</t>
  </si>
  <si>
    <t>Shell Thickness</t>
  </si>
  <si>
    <t>Too Thin / Fragile / Slightly Thin</t>
  </si>
  <si>
    <t>Flakiness</t>
  </si>
  <si>
    <t>Bite-Through Effort</t>
  </si>
  <si>
    <t>Target (Clean Break)</t>
  </si>
  <si>
    <t>Slightly Easy / Falls Apart on Bite</t>
  </si>
  <si>
    <t>Oil Absorption</t>
  </si>
  <si>
    <t>Very Dry / No Oil / Low Oil Absorption</t>
  </si>
  <si>
    <t>High Oil Absorption / Excessively Greasy / Soggy</t>
  </si>
  <si>
    <t>C. Filling Appearance Evaluation</t>
  </si>
  <si>
    <t>Filling Quantity</t>
  </si>
  <si>
    <t>No Filling / Empty / Very Little Filling</t>
  </si>
  <si>
    <t>Target (Well-Filled)</t>
  </si>
  <si>
    <t>Overfilled (Bursting) / Excessively Overfilled</t>
  </si>
  <si>
    <t>Filling Distribution</t>
  </si>
  <si>
    <t>All Filling One Side / Slightly Uneven</t>
  </si>
  <si>
    <t>Filling Color</t>
  </si>
  <si>
    <t>Pale / Undercooked / Slightly Pale</t>
  </si>
  <si>
    <t>Target Color</t>
  </si>
  <si>
    <t>Slightly Dark / Very Dark / Overcooked</t>
  </si>
  <si>
    <t>Moisture (Filling)</t>
  </si>
  <si>
    <t>Target (Moist Filling)</t>
  </si>
  <si>
    <t>D. Aroma Evaluation</t>
  </si>
  <si>
    <t>Fried / Baked Aroma</t>
  </si>
  <si>
    <t>Very Weak / None / Slight Fried Aroma</t>
  </si>
  <si>
    <t>Target (Fresh Fried)</t>
  </si>
  <si>
    <t>Strong Fried Aroma / Burnt / Acrid Aroma</t>
  </si>
  <si>
    <t>Oily / Fat Aroma</t>
  </si>
  <si>
    <t>No Oily Aroma / Slight Oily Aroma</t>
  </si>
  <si>
    <t>Strong Oily Aroma / Rancid / Oxidized</t>
  </si>
  <si>
    <t>Filling Aroma</t>
  </si>
  <si>
    <t>Strong Filling Aroma / Off / Sour Aroma</t>
  </si>
  <si>
    <t>Herbal / Coriander Aroma</t>
  </si>
  <si>
    <t>E. Mouthfeel / Texture Evaluation</t>
  </si>
  <si>
    <t>Shell Crunch (Initial Bite)</t>
  </si>
  <si>
    <t>No Crunch / Soggy / Low Crunch</t>
  </si>
  <si>
    <t>Target (Clear Crunch)</t>
  </si>
  <si>
    <t>Very Crunchy / Excessively Hard</t>
  </si>
  <si>
    <t>Shell Chewiness</t>
  </si>
  <si>
    <t>Too Tough / Leathery / Slightly Chewy</t>
  </si>
  <si>
    <t>Slightly Easy / Falls Apart</t>
  </si>
  <si>
    <t>Filling Moistness</t>
  </si>
  <si>
    <t>Very Dry Filling / Slightly Dry</t>
  </si>
  <si>
    <t>Slightly Wet / Watery / Wet</t>
  </si>
  <si>
    <t>Filling Softness</t>
  </si>
  <si>
    <t>Very Hard / Chunky / Slightly Hard</t>
  </si>
  <si>
    <t>Target (Soft &amp; Cohesive)</t>
  </si>
  <si>
    <t>Slightly Mushy / Mushy / Paste-Like</t>
  </si>
  <si>
    <t>Oiliness (Mouthfeel)</t>
  </si>
  <si>
    <t>Heavy Coating / Excessively Greasy</t>
  </si>
  <si>
    <t>F. Taste Evaluation</t>
  </si>
  <si>
    <t>No Savory Taste / Low Savory</t>
  </si>
  <si>
    <t>Filling Taste</t>
  </si>
  <si>
    <t>Strong Filling Flavor / Off / Sour Taste</t>
  </si>
  <si>
    <t>Chicken Taste*</t>
  </si>
  <si>
    <t>No Chicken Flavor / Weak Chicken Flavor</t>
  </si>
  <si>
    <t>Target (Clear Chicken)</t>
  </si>
  <si>
    <t>Strong Chicken Flavor / Artificial / Off</t>
  </si>
  <si>
    <t>* Chicken Taste: Chicken Samosa only; skip for Aloo Samosa.</t>
  </si>
  <si>
    <t>G. Aftertaste Evaluation</t>
  </si>
  <si>
    <t>Section Average — G</t>
  </si>
  <si>
    <t>Competitive Sensory Evaluation Form (5-Sample Comparison) — Rusks</t>
  </si>
  <si>
    <t>Products: Round Rusk  |  Crispy Rusk  |  BaqarKhani Plain  |  BaqarKhani Sugar Coated  |  Cake Rusk Plain  |  Bran Cake Rusk</t>
  </si>
  <si>
    <t>Very Pale / Untoasted / Slightly Pale</t>
  </si>
  <si>
    <t>Slightly Dark / Burnt</t>
  </si>
  <si>
    <t>Toast Uniformity</t>
  </si>
  <si>
    <t>Slightly Over-Toasted / Highly Uneven / Burnt</t>
  </si>
  <si>
    <t>Sugar Coating*</t>
  </si>
  <si>
    <t>No Sugar Coating / Sparse / Thin</t>
  </si>
  <si>
    <t>Uniform Even Coating</t>
  </si>
  <si>
    <t>Slightly Thick / Clumped / Heavy / Crystallized</t>
  </si>
  <si>
    <t>Highly Irregular / Slightly Irregular</t>
  </si>
  <si>
    <t>Surface Smoothness</t>
  </si>
  <si>
    <t>Very Rough / Slightly Rough</t>
  </si>
  <si>
    <t>Target (Smooth)</t>
  </si>
  <si>
    <t>Slightly Smooth / Very Smooth / Glazed</t>
  </si>
  <si>
    <t>Edge Condition</t>
  </si>
  <si>
    <t>Broken / Chipped / Slightly Chipped</t>
  </si>
  <si>
    <t>Intact</t>
  </si>
  <si>
    <t>Slightly Sharp / Excessively Sharp</t>
  </si>
  <si>
    <t>Surface Integrity</t>
  </si>
  <si>
    <t>Cracked / Split / Slightly Cracked</t>
  </si>
  <si>
    <t>Target (Intact)</t>
  </si>
  <si>
    <t>Firm / Excessively Hard</t>
  </si>
  <si>
    <t>* Sugar Coating: BaqarKhani Sugar Coated only; skip for all other products.</t>
  </si>
  <si>
    <t>Highly Uneven / Slightly Uneven</t>
  </si>
  <si>
    <t>Slightly Open Pockets / Large Voids</t>
  </si>
  <si>
    <t>Very Pale / Slightly Pale</t>
  </si>
  <si>
    <t>Slightly Dark / Excessively Dark</t>
  </si>
  <si>
    <t>Toast Penetration</t>
  </si>
  <si>
    <t>Under-Toasted Core / Slightly Under-Toasted</t>
  </si>
  <si>
    <t>Target (Even Toast)</t>
  </si>
  <si>
    <t>Slightly Over-Toasted / Burnt Core</t>
  </si>
  <si>
    <t>Layering (BaqarKhani)***</t>
  </si>
  <si>
    <t>Slightly Uneven / Very Uneven Layers</t>
  </si>
  <si>
    <t>*** Layering: BaqarKhani Plain &amp; BaqarKhani Sugar Coated only.</t>
  </si>
  <si>
    <t>Baked / Toasted Aroma</t>
  </si>
  <si>
    <t>No / Weak Aroma / Slightly Weak</t>
  </si>
  <si>
    <t>Target (Pleasant Toast)</t>
  </si>
  <si>
    <t>Strong / Burnt</t>
  </si>
  <si>
    <t>Sweet Aroma</t>
  </si>
  <si>
    <t>None / Low</t>
  </si>
  <si>
    <t>Strong / Artificial / Sickly</t>
  </si>
  <si>
    <t>Milky Aroma</t>
  </si>
  <si>
    <t>Strong / Artificial</t>
  </si>
  <si>
    <t>Grainy / Bran Aroma**</t>
  </si>
  <si>
    <t>Strong / Raw Bran / Harsh</t>
  </si>
  <si>
    <t>Butter / Fat Aroma***</t>
  </si>
  <si>
    <t>Target (Mild Butter)</t>
  </si>
  <si>
    <t>Strong / Rancid Fat Aroma</t>
  </si>
  <si>
    <t>Sugar / Caramel Aroma*</t>
  </si>
  <si>
    <t>Strong / Artificial / Burnt Sugar</t>
  </si>
  <si>
    <t>* Sugar / Caramel Aroma: BaqarKhani Sugar Coated only.</t>
  </si>
  <si>
    <t>** Grainy / Bran Aroma: Bran Cake Rusk only.</t>
  </si>
  <si>
    <t>*** Butter / Fat Aroma: BaqarKhani variants only.</t>
  </si>
  <si>
    <t>Crunchiness</t>
  </si>
  <si>
    <t>No Crunch / Soft / Low Crunch</t>
  </si>
  <si>
    <t>Target (Clean Crunch)</t>
  </si>
  <si>
    <t>Strong Crunch / Excessively Hard</t>
  </si>
  <si>
    <t>Bite Hardness</t>
  </si>
  <si>
    <t>Very Soft / Crumbles / Soft</t>
  </si>
  <si>
    <t>Hard / Extremely Hard</t>
  </si>
  <si>
    <t>Fracturability</t>
  </si>
  <si>
    <t>Difficult to Break / Slightly Difficult</t>
  </si>
  <si>
    <t>Easy Break / Crumbles Excessively</t>
  </si>
  <si>
    <t>Not Crisp / Slightly Crisp</t>
  </si>
  <si>
    <t>Very Crisp / Harsh / Cuts Mouth</t>
  </si>
  <si>
    <t>Dryness</t>
  </si>
  <si>
    <t>Very Moist / Soft / Slightly Moist</t>
  </si>
  <si>
    <t>Slightly Dry / Extremely Dry</t>
  </si>
  <si>
    <t>Mouth Breakdown</t>
  </si>
  <si>
    <t>Target (Moderate)</t>
  </si>
  <si>
    <t>Quick / Instant Crumbling</t>
  </si>
  <si>
    <t>Particle Size (Chewing)</t>
  </si>
  <si>
    <t>Very Large Pieces / Large Pieces</t>
  </si>
  <si>
    <t>Fine Particles / Powdery</t>
  </si>
  <si>
    <t>Mouth Coating</t>
  </si>
  <si>
    <t>No Coating / Slight Coating</t>
  </si>
  <si>
    <t>High Coating / Excessively Oily</t>
  </si>
  <si>
    <t>Sugar Coating Feel*</t>
  </si>
  <si>
    <t>No Sweetness on Touch / Slight Sweetness</t>
  </si>
  <si>
    <t>Target (Even Sweet Crunch)</t>
  </si>
  <si>
    <t>Heavy Crystals / Sticky / Dissolves Poorly</t>
  </si>
  <si>
    <t>* Sugar Coating Feel: BaqarKhani Sugar Coated only.</t>
  </si>
  <si>
    <t>Very Low / None / Low</t>
  </si>
  <si>
    <t>High / Excessively Sweet</t>
  </si>
  <si>
    <t>Salt Balance</t>
  </si>
  <si>
    <t>Slightly Salty / Very Salty</t>
  </si>
  <si>
    <t>Toasted / Baked Flavor</t>
  </si>
  <si>
    <t>Milky Flavor</t>
  </si>
  <si>
    <t>Grain / Bran Flavor**</t>
  </si>
  <si>
    <t>Strong / Raw Grain / Harsh</t>
  </si>
  <si>
    <t>Butter Flavor***</t>
  </si>
  <si>
    <t>Strong / Rancid / Off</t>
  </si>
  <si>
    <t>Sugar / Caramel Flavor*</t>
  </si>
  <si>
    <t>* Sugar / Caramel Flavor: BaqarKhani Sugar Coated only.</t>
  </si>
  <si>
    <t>** Grain / Bran Flavor: Bran Cake Rusk only.</t>
  </si>
  <si>
    <t>*** Butter Flavor: BaqarKhani variants only.</t>
  </si>
  <si>
    <t>Drying Intensity</t>
  </si>
  <si>
    <t>Not Drying / Slightly Drying</t>
  </si>
  <si>
    <t>Drying / Extremely Drying</t>
  </si>
  <si>
    <t>Toasted Aftertaste</t>
  </si>
  <si>
    <t>Sweet Aftertaste</t>
  </si>
  <si>
    <t>Strong / Overly Lingering</t>
  </si>
  <si>
    <t>Bitter Aftertaste</t>
  </si>
  <si>
    <t>Target (None)</t>
  </si>
  <si>
    <t>Noticeable / Strong Bitter</t>
  </si>
  <si>
    <t>Competitive Sensory Evaluation Form (5-Sample Comparison) — Cakes, Muffins &amp; Cupcakes</t>
  </si>
  <si>
    <t>Products: Lemon Cake | Fruit Cake | Plain Cake | Marble Cake | Pound Cake | Boat Cake Plain | Mango Boat Cake | Chocolate Bar Cake | Plain Bar Cake | Fruit Bun | Muffins (Vanilla, Pineapple, Chocolate, Strawberry) | Cupcakes (Vanilla, Pineapple, Chocolate, Strawberry)</t>
  </si>
  <si>
    <t>A. Surface / External Appearance Evaluation</t>
  </si>
  <si>
    <t>Crust / Top Color</t>
  </si>
  <si>
    <t>Target (Golden / Brown)</t>
  </si>
  <si>
    <t>Highly Cracked / Split / Slightly Cracked</t>
  </si>
  <si>
    <t>Slightly Domed / Highly Domed / Peaked</t>
  </si>
  <si>
    <t>Top Shape / Rise</t>
  </si>
  <si>
    <t>Slightly Raised / Highly Raised / Peaked</t>
  </si>
  <si>
    <t>Fruit Visibility***</t>
  </si>
  <si>
    <t>No Fruit Visible / Sparse Fruit</t>
  </si>
  <si>
    <t>Slightly Concentrated / Heavily Clumped</t>
  </si>
  <si>
    <t>Marble Pattern****</t>
  </si>
  <si>
    <t>No Marble / Solid / Faint Marble</t>
  </si>
  <si>
    <t>Target (Clear Marble)</t>
  </si>
  <si>
    <t>Heavy / Blotchy Marble / Marbling Absent</t>
  </si>
  <si>
    <t>*** Fruit Visibility: Fruit Cake &amp; Fruit Bun only.</t>
  </si>
  <si>
    <t>**** Marble Pattern: Marble Cake &amp; Chocolate Bar Cake only.</t>
  </si>
  <si>
    <t>B. Crumb / Internal Structure Evaluation</t>
  </si>
  <si>
    <t>Slightly Dark / Too Dark</t>
  </si>
  <si>
    <t>Very Open / Tunneling / Slightly Open</t>
  </si>
  <si>
    <t>Target (Fine Even Cells)</t>
  </si>
  <si>
    <t>Slightly Dense / Very Dense / Compact</t>
  </si>
  <si>
    <t>Chocolate Swirl****</t>
  </si>
  <si>
    <t>No Swirl / Faint Swirl</t>
  </si>
  <si>
    <t>Target (Clear Swirl)</t>
  </si>
  <si>
    <t>Heavy Swirl / Swirl Absent</t>
  </si>
  <si>
    <t>Fruit Distribution***</t>
  </si>
  <si>
    <t>Fruit Settled at Bottom / Slightly Uneven</t>
  </si>
  <si>
    <t>*** Fruit Distribution: Fruit Cake &amp; Fruit Bun only.</t>
  </si>
  <si>
    <t>**** Chocolate Swirl: Marble Cake &amp; Chocolate Bar Cake only.</t>
  </si>
  <si>
    <t>Vanilla Aroma</t>
  </si>
  <si>
    <t>No Vanilla Aroma / Low Vanilla Aroma</t>
  </si>
  <si>
    <t>Strong Vanilla Aroma / Artificial / Overpowering</t>
  </si>
  <si>
    <t>Buttery Aroma</t>
  </si>
  <si>
    <t>Strong Buttery Aroma / Rancid Fat Aroma</t>
  </si>
  <si>
    <t>Fruity Aroma***</t>
  </si>
  <si>
    <t>No Fruity Aroma / Weak Fruity Aroma</t>
  </si>
  <si>
    <t>Strong Fruity Aroma / Artificial Fruity Aroma</t>
  </si>
  <si>
    <t>Lemon / Citrus Aroma*</t>
  </si>
  <si>
    <t>Target (Fresh Citrus)</t>
  </si>
  <si>
    <t>Strong / Artificial / Chemical</t>
  </si>
  <si>
    <t>Chocolate Aroma****</t>
  </si>
  <si>
    <t>Target (Rich Cocoa)</t>
  </si>
  <si>
    <t>Strong / Artificial / Bitter</t>
  </si>
  <si>
    <t>Mango Aroma**</t>
  </si>
  <si>
    <t>Target (Fresh Mango)</t>
  </si>
  <si>
    <t>Strong / Artificial / Over-Ripe</t>
  </si>
  <si>
    <t>Strawberry / Pineapple Aroma*****</t>
  </si>
  <si>
    <t>Strong / Artificial / Overpowering</t>
  </si>
  <si>
    <t>* Lemon / Citrus Aroma: Lemon Cake only.</t>
  </si>
  <si>
    <t>** Mango Aroma: Mango Boat Cake only.</t>
  </si>
  <si>
    <t>*** Fruity Aroma: Fruit Cake, Fruit Bun only.</t>
  </si>
  <si>
    <t>**** Chocolate Aroma: Chocolate Bar Cake, Marble Cake, Chocolate Muffin / Cupcake.</t>
  </si>
  <si>
    <t>***** Strawberry / Pineapple Aroma: flavoured Muffins &amp; Cupcakes only.</t>
  </si>
  <si>
    <t>Crumbliness</t>
  </si>
  <si>
    <t>Highly Crumbly / Slightly Crumbly</t>
  </si>
  <si>
    <t>Target (Slightly Tender)</t>
  </si>
  <si>
    <t>Slightly Cohesive / Very Cohesive / Gummy</t>
  </si>
  <si>
    <t>Very Hard / Dense / Slightly Hard</t>
  </si>
  <si>
    <t>Slightly Soft / Mushy</t>
  </si>
  <si>
    <t>High Coating / Excessively Greasy</t>
  </si>
  <si>
    <t>* Glaze / Icing Texture: Lemon Cake &amp; Mango Boat Cake.</t>
  </si>
  <si>
    <t>** Icing Melt / Creaminess: Muffins &amp; Cupcakes only.</t>
  </si>
  <si>
    <t>Strong Milk Taste / Artificial Milk Taste</t>
  </si>
  <si>
    <t>Vanilla Taste</t>
  </si>
  <si>
    <t>No Vanilla Taste / Low Vanilla Taste</t>
  </si>
  <si>
    <t>Strong Vanilla Taste / Artificial Vanilla Taste</t>
  </si>
  <si>
    <t>Baked / Buttery Taste</t>
  </si>
  <si>
    <t>No Buttery Flavor / Slight Buttery Flavor</t>
  </si>
  <si>
    <t>Strong Buttery Flavor / Rancid Fat Taste</t>
  </si>
  <si>
    <t>Fruity Taste***</t>
  </si>
  <si>
    <t>No Fruit Taste / Low Fruit Taste</t>
  </si>
  <si>
    <t>Strong Fruit Taste / Artificial Fruit Taste</t>
  </si>
  <si>
    <t>Lemon / Citrus Taste*</t>
  </si>
  <si>
    <t>Target (Bright &amp; Tangy)</t>
  </si>
  <si>
    <t>Strong / Sour / Artificial / Bitter</t>
  </si>
  <si>
    <t>Chocolate Taste****</t>
  </si>
  <si>
    <t>Strong / Artificial / Very Bitter</t>
  </si>
  <si>
    <t>Mango Taste**</t>
  </si>
  <si>
    <t>Strawberry / Pineapple Taste*****</t>
  </si>
  <si>
    <t>Strong / Artificial / Cloying</t>
  </si>
  <si>
    <t>* Lemon / Citrus Taste: Lemon Cake only.</t>
  </si>
  <si>
    <t>** Mango Taste: Mango Boat Cake only.</t>
  </si>
  <si>
    <t>*** Fruity Taste: Fruit Cake &amp; Fruit Bun only.</t>
  </si>
  <si>
    <t>**** Chocolate Taste: Chocolate Bar Cake, Marble Cake, Chocolate Muffin / Cupcake.</t>
  </si>
  <si>
    <t>***** Strawberry / Pineapple Taste: flavoured Muffins &amp; Cupcakes only.</t>
  </si>
  <si>
    <t>Very Drying / Slightly Drying</t>
  </si>
  <si>
    <t>Slight Moist Coating / Heavy Coating</t>
  </si>
  <si>
    <t>Sweet–Bitter Balance</t>
  </si>
  <si>
    <t>Very Sweet / Slightly Sweet</t>
  </si>
  <si>
    <t>Slightly Bitter / Strong Bitter</t>
  </si>
  <si>
    <t>Fruit / Flavour Aftertaste*</t>
  </si>
  <si>
    <t>* Fruit / Flavour Aftertaste: Lemon Cake, Fruit Cake, Mango Boat Cake, Fruit Bun, flavoured Muffins/Cupcakes.</t>
  </si>
  <si>
    <t>** Icing Sweetness Lingering: Muffins &amp; Cupcakes only.</t>
  </si>
  <si>
    <t>Products: Chicken Shots  |  Hotshots  |  Nuggets</t>
  </si>
  <si>
    <t>A. External Appearance / Coating Evaluation</t>
  </si>
  <si>
    <t>Coating Color</t>
  </si>
  <si>
    <t>Very Pale / Unfried / Slightly Pale</t>
  </si>
  <si>
    <t>Coating Texture</t>
  </si>
  <si>
    <t>Very Smooth / No Crumb / Slightly Smooth</t>
  </si>
  <si>
    <t>Target (Light Crumb)</t>
  </si>
  <si>
    <t>Heavy Crumb / Rough / Excessively Rough / Clumped</t>
  </si>
  <si>
    <t>Very Dry / No Sheen / Slight Sheen</t>
  </si>
  <si>
    <t>Oily / Wet Look / Excessively Oily</t>
  </si>
  <si>
    <t>Coating Adhesion</t>
  </si>
  <si>
    <t>Coating Falling Off / Slightly Loose</t>
  </si>
  <si>
    <t>Target (Well Adhered)</t>
  </si>
  <si>
    <t>Slightly Thick Coating / Very Thick / Doughy</t>
  </si>
  <si>
    <t>B. Internal / Filling Appearance Evaluation</t>
  </si>
  <si>
    <t>Chicken Color (Internal)</t>
  </si>
  <si>
    <t>Grey / Undercooked / Slightly Pale</t>
  </si>
  <si>
    <t>Target (Cooked White)</t>
  </si>
  <si>
    <t>No Chicken / Empty / Sparse Chicken</t>
  </si>
  <si>
    <t>Slightly Over-Filled / Excessively Over-Filled</t>
  </si>
  <si>
    <t>Filling Moisture</t>
  </si>
  <si>
    <t>Very Dry / Stringy / Slightly Dry</t>
  </si>
  <si>
    <t>Target (Moist &amp; Tender)</t>
  </si>
  <si>
    <t>Slightly Wet / Very Wet / Watery</t>
  </si>
  <si>
    <t>Cheese Pull / Melt*</t>
  </si>
  <si>
    <t>No Cheese Visible / Sparse Cheese</t>
  </si>
  <si>
    <t>Target (Good Melt &amp; Pull)</t>
  </si>
  <si>
    <t>Excess Cheese / Very Excess / Oily Cheese</t>
  </si>
  <si>
    <t>* Cheese Pull / Melt: Hotshots &amp; cheese-filled variants only.</t>
  </si>
  <si>
    <t>Fried Aroma</t>
  </si>
  <si>
    <t>Chicken Aroma</t>
  </si>
  <si>
    <t>No Chicken Aroma / Weak Chicken Aroma</t>
  </si>
  <si>
    <t>Strong Chicken Aroma / Off / Sour Chicken</t>
  </si>
  <si>
    <t>Spice / Seasoning Aroma</t>
  </si>
  <si>
    <t>Cheese Aroma*</t>
  </si>
  <si>
    <t>Target (Mild Cheese)</t>
  </si>
  <si>
    <t>Strong Cheese Aroma / Sharp / Off Cheese</t>
  </si>
  <si>
    <t>* Cheese Aroma: Hotshots &amp; cheese-filled variants only.</t>
  </si>
  <si>
    <t>Coating Crunch</t>
  </si>
  <si>
    <t>Coating Chewiness</t>
  </si>
  <si>
    <t>Too Tough / Rubbery / Slightly Chewy</t>
  </si>
  <si>
    <t>Chicken Tenderness</t>
  </si>
  <si>
    <t>Very Tough / Stringy / Slightly Tough</t>
  </si>
  <si>
    <t>Target (Tender &amp; Juicy)</t>
  </si>
  <si>
    <t>Slightly Mushy / Very Mushy / Paste</t>
  </si>
  <si>
    <t>Chicken Juiciness</t>
  </si>
  <si>
    <t>Cheese Melt (Feel)*</t>
  </si>
  <si>
    <t>No Cheese Feel / Faint Cheese</t>
  </si>
  <si>
    <t>Target (Creamy Melt)</t>
  </si>
  <si>
    <t>Heavy Cheese / Excessively Oily Cheese</t>
  </si>
  <si>
    <t>* Cheese Melt: cheese-filled variants only.</t>
  </si>
  <si>
    <t>Chicken Flavor</t>
  </si>
  <si>
    <t>No Chicken Taste / Weak Chicken Taste</t>
  </si>
  <si>
    <t>Strong Chicken Taste / Artificial / Off</t>
  </si>
  <si>
    <t>Cheese Taste*</t>
  </si>
  <si>
    <t>Target (Mild Creamy)</t>
  </si>
  <si>
    <t>Strong Cheese / Sharp / Off Cheese</t>
  </si>
  <si>
    <t>* Cheese Taste: Hotshots &amp; cheese-filled variants only.</t>
  </si>
  <si>
    <t>Chicken Aftertaste</t>
  </si>
  <si>
    <t>Competitive Sensory Evaluation Form (6-Sample Comparison) — Pizza Toppings (As Supplied, Standalone)</t>
  </si>
  <si>
    <t>Products: Chicken Tikka Topping  |  Beef Topping  |  Vegetable Mix Topping  |  Cheese Blend Topping</t>
  </si>
  <si>
    <t>Sample Identification (min. 6 samples for competitive comparison)</t>
  </si>
  <si>
    <t>A. Topping Appearance Evaluation</t>
  </si>
  <si>
    <t>Color</t>
  </si>
  <si>
    <t>Too Pale / Faded / Discolored</t>
  </si>
  <si>
    <t>Target (Bright, Natural / Characteristic Color)</t>
  </si>
  <si>
    <t>Slightly Dark / Very Dark / Off-Color</t>
  </si>
  <si>
    <t>Highly Uneven (Pale/Patchy) / Slightly Uneven</t>
  </si>
  <si>
    <t>Uniform Across Pieces</t>
  </si>
  <si>
    <t>Surface Moisture / Oiliness</t>
  </si>
  <si>
    <t>Dry / Dull / Slight Sheen</t>
  </si>
  <si>
    <t>Target (Light, Natural Sheen)</t>
  </si>
  <si>
    <t>Wet / Oily / Excessively Greasy / Weeping</t>
  </si>
  <si>
    <t>Visual Freshness</t>
  </si>
  <si>
    <t>Freezer Burn / Discoloration / Slightly Dry Edges</t>
  </si>
  <si>
    <t>Target (Fresh, No Defects)</t>
  </si>
  <si>
    <t>Excess Surface Moisture / Slimy / Deteriorated</t>
  </si>
  <si>
    <t>B. Topping Size &amp; Cut Evaluation</t>
  </si>
  <si>
    <t>Piece Size</t>
  </si>
  <si>
    <t>Crushed / Finely Crushed / Slightly Small</t>
  </si>
  <si>
    <t>Slightly Large / Too Large / Oversized</t>
  </si>
  <si>
    <t>Size Uniformity</t>
  </si>
  <si>
    <t>Highly Uneven (Fine) / Slightly Uneven</t>
  </si>
  <si>
    <t>Slightly Uneven (Coarse) / Highly Uneven (Coarse)</t>
  </si>
  <si>
    <t>Very Weak / None / Faint</t>
  </si>
  <si>
    <t>Target (Clear, Characteristic)</t>
  </si>
  <si>
    <t>Strong / Overpowering / Off-Character</t>
  </si>
  <si>
    <t>Raw / Uncooked Aroma*</t>
  </si>
  <si>
    <t>Strong Raw / Metallic Aroma / Slightly Raw</t>
  </si>
  <si>
    <t>Target (Clean, Appropriate to Product State)</t>
  </si>
  <si>
    <t>Slightly Strong Cooked / Overcooked / Burnt Aroma</t>
  </si>
  <si>
    <t>Firmness / Bite</t>
  </si>
  <si>
    <t>Very Soft / Mushy / Slightly Soft</t>
  </si>
  <si>
    <t>Target (Firm, Characteristic Bite)</t>
  </si>
  <si>
    <t>Slightly Tough / Very Tough / Rubbery</t>
  </si>
  <si>
    <t>Juiciness / Moistness</t>
  </si>
  <si>
    <t>Slightly Wet / Watery / Soggy</t>
  </si>
  <si>
    <t>No Chew / Falls Apart / Slightly Easy</t>
  </si>
  <si>
    <t>Slightly Chewy / Very Tough / Rubbery</t>
  </si>
  <si>
    <t>Off Taste</t>
  </si>
  <si>
    <t>Noticeable Rancid / Sour / Off Taste</t>
  </si>
  <si>
    <t>Flavor Lingering</t>
  </si>
  <si>
    <t>Strong Lingering / Overpowering / Unpleasant</t>
  </si>
  <si>
    <t>Sample F:</t>
  </si>
  <si>
    <t>Characteristic Umami Aroma</t>
  </si>
  <si>
    <t>Competitive Sensory Evaluation Form — Chicken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</si>
</sst>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charset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2" xfId="0" applyFont="1" applyBorder="1"/>
    <xf numFmtId="0" fontId="6" fillId="0" borderId="2" xfId="0" applyFont="1" applyBorder="1" applyAlignment="1">
      <alignment horizontal="center" wrapText="1"/>
    </xf>
    <xf numFmtId="0" fontId="0" fillId="0" borderId="2" xfId="0" applyBorder="1"/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8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0" fillId="0" borderId="0" xfId="0" applyFont="1"/>
    <xf numFmtId="0" fontId="10" fillId="0" borderId="4" xfId="0" applyFont="1" applyBorder="1"/>
    <xf numFmtId="0" fontId="10" fillId="0" borderId="6" xfId="0" applyFont="1" applyBorder="1"/>
    <xf numFmtId="0" fontId="4" fillId="0" borderId="7" xfId="0" applyFont="1" applyBorder="1"/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0" fontId="7" fillId="0" borderId="7" xfId="0" applyFont="1" applyBorder="1"/>
    <xf numFmtId="0" fontId="8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0" borderId="2" xfId="0" applyFont="1" applyBorder="1"/>
    <xf numFmtId="0" fontId="0" fillId="0" borderId="7" xfId="0" applyBorder="1"/>
    <xf numFmtId="0" fontId="0" fillId="0" borderId="6" xfId="0" applyBorder="1"/>
    <xf numFmtId="0" fontId="6" fillId="0" borderId="7" xfId="0" applyFont="1" applyBorder="1"/>
    <xf numFmtId="0" fontId="4" fillId="0" borderId="6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1" fillId="0" borderId="7" xfId="0" applyFont="1" applyBorder="1"/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0" xfId="0" applyFont="1"/>
    <xf numFmtId="0" fontId="11" fillId="0" borderId="12" xfId="0" applyFont="1" applyBorder="1"/>
    <xf numFmtId="0" fontId="11" fillId="0" borderId="13" xfId="0" applyFont="1" applyBorder="1"/>
    <xf numFmtId="0" fontId="15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22" xfId="0" applyBorder="1"/>
    <xf numFmtId="0" fontId="0" fillId="0" borderId="21" xfId="0" applyBorder="1"/>
    <xf numFmtId="0" fontId="5" fillId="0" borderId="7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11" fillId="0" borderId="7" xfId="0" applyFont="1" applyBorder="1"/>
    <xf numFmtId="0" fontId="12" fillId="0" borderId="15" xfId="0" applyFont="1" applyBorder="1"/>
    <xf numFmtId="0" fontId="12" fillId="0" borderId="16" xfId="0" applyFont="1" applyBorder="1"/>
    <xf numFmtId="0" fontId="0" fillId="0" borderId="2" xfId="0" applyBorder="1"/>
    <xf numFmtId="0" fontId="3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5" fillId="0" borderId="7" xfId="0" applyFont="1" applyBorder="1"/>
    <xf numFmtId="0" fontId="4" fillId="0" borderId="7" xfId="0" applyFont="1" applyBorder="1"/>
    <xf numFmtId="0" fontId="6" fillId="0" borderId="7" xfId="0" applyFont="1" applyBorder="1" applyAlignment="1">
      <alignment horizontal="center" wrapText="1"/>
    </xf>
    <xf numFmtId="0" fontId="12" fillId="0" borderId="2" xfId="0" applyFont="1" applyBorder="1"/>
    <xf numFmtId="0" fontId="14" fillId="0" borderId="7" xfId="0" applyFont="1" applyBorder="1"/>
    <xf numFmtId="0" fontId="2" fillId="0" borderId="7" xfId="0" applyFont="1" applyBorder="1" applyAlignment="1">
      <alignment horizontal="center" vertical="center" wrapText="1"/>
    </xf>
    <xf numFmtId="0" fontId="12" fillId="0" borderId="13" xfId="0" applyFont="1" applyBorder="1"/>
    <xf numFmtId="0" fontId="12" fillId="0" borderId="21" xfId="0" applyFont="1" applyBorder="1"/>
    <xf numFmtId="0" fontId="10" fillId="0" borderId="9" xfId="0" applyFont="1" applyBorder="1"/>
    <xf numFmtId="0" fontId="0" fillId="0" borderId="9" xfId="0" applyBorder="1"/>
    <xf numFmtId="0" fontId="6" fillId="0" borderId="5" xfId="0" applyFont="1" applyBorder="1"/>
    <xf numFmtId="0" fontId="10" fillId="0" borderId="6" xfId="0" applyFont="1" applyBorder="1"/>
    <xf numFmtId="0" fontId="0" fillId="0" borderId="17" xfId="0" applyBorder="1"/>
    <xf numFmtId="0" fontId="1" fillId="0" borderId="2" xfId="0" applyFont="1" applyBorder="1" applyAlignment="1">
      <alignment horizontal="center" vertical="center" wrapText="1"/>
    </xf>
    <xf numFmtId="0" fontId="3" fillId="0" borderId="18" xfId="0" applyFont="1" applyBorder="1"/>
    <xf numFmtId="0" fontId="0" fillId="0" borderId="0" xfId="0"/>
    <xf numFmtId="0" fontId="0" fillId="0" borderId="4" xfId="0" applyBorder="1"/>
    <xf numFmtId="0" fontId="5" fillId="0" borderId="18" xfId="0" applyFont="1" applyBorder="1" applyAlignment="1">
      <alignment horizontal="left" vertical="center"/>
    </xf>
    <xf numFmtId="0" fontId="4" fillId="0" borderId="18" xfId="0" applyFont="1" applyBorder="1"/>
    <xf numFmtId="0" fontId="5" fillId="0" borderId="18" xfId="0" applyFont="1" applyBorder="1"/>
    <xf numFmtId="0" fontId="9" fillId="0" borderId="18" xfId="0" applyFont="1" applyBorder="1"/>
    <xf numFmtId="0" fontId="10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/>
    <xf numFmtId="0" fontId="6" fillId="0" borderId="18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62E"/>
      <rgbColor rgb="FF800080"/>
      <rgbColor rgb="FF008080"/>
      <rgbColor rgb="FFC0C0C0"/>
      <rgbColor rgb="FF888888"/>
      <rgbColor rgb="FF9999FF"/>
      <rgbColor rgb="FF993366"/>
      <rgbColor rgb="FFFCEFD0"/>
      <rgbColor rgb="FFEAF1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0"/>
      <rgbColor rgb="FFDDEBE2"/>
      <rgbColor rgb="FFF8F4E8"/>
      <rgbColor rgb="FF99CCFF"/>
      <rgbColor rgb="FFFF99CC"/>
      <rgbColor rgb="FFCC99FF"/>
      <rgbColor rgb="FFF3E4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2E2E"/>
      <rgbColor rgb="FF993366"/>
      <rgbColor rgb="FF333399"/>
      <rgbColor rgb="FF1B4D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6"/>
  <sheetViews>
    <sheetView showGridLines="0" zoomScaleNormal="100" workbookViewId="0">
      <selection activeCell="E89" sqref="E89:I89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81" t="s">
        <v>0</v>
      </c>
      <c r="B1" s="57"/>
      <c r="C1" s="57"/>
      <c r="D1" s="57"/>
      <c r="E1" s="57"/>
      <c r="F1" s="57"/>
      <c r="G1" s="57"/>
      <c r="H1" s="57"/>
      <c r="I1" s="58"/>
    </row>
    <row r="2" spans="1:9" ht="24" customHeight="1" x14ac:dyDescent="0.3">
      <c r="A2" s="90" t="s">
        <v>205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93" t="s">
        <v>206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14"/>
      <c r="B4" s="15"/>
      <c r="C4" s="15"/>
      <c r="D4" s="15"/>
      <c r="E4" s="15"/>
      <c r="F4" s="15"/>
      <c r="G4" s="15"/>
      <c r="H4" s="15"/>
      <c r="I4" s="16"/>
    </row>
    <row r="5" spans="1:9" x14ac:dyDescent="0.3">
      <c r="A5" s="91" t="s">
        <v>3</v>
      </c>
      <c r="B5" s="57"/>
      <c r="C5" s="57"/>
      <c r="D5" s="79"/>
      <c r="E5" s="57"/>
      <c r="F5" s="57"/>
      <c r="G5" s="57"/>
      <c r="H5" s="57"/>
      <c r="I5" s="80"/>
    </row>
    <row r="6" spans="1:9" x14ac:dyDescent="0.3">
      <c r="A6" s="18" t="s">
        <v>4</v>
      </c>
      <c r="B6" s="89"/>
      <c r="C6" s="57"/>
      <c r="D6" s="1" t="s">
        <v>5</v>
      </c>
      <c r="E6" s="79"/>
      <c r="F6" s="57"/>
      <c r="G6" s="57"/>
      <c r="H6" s="57"/>
      <c r="I6" s="80"/>
    </row>
    <row r="7" spans="1:9" x14ac:dyDescent="0.3">
      <c r="A7" s="18" t="s">
        <v>6</v>
      </c>
      <c r="B7" s="89"/>
      <c r="C7" s="57"/>
      <c r="D7" s="1" t="s">
        <v>7</v>
      </c>
      <c r="E7" s="79"/>
      <c r="F7" s="57"/>
      <c r="G7" s="57"/>
      <c r="H7" s="57"/>
      <c r="I7" s="80"/>
    </row>
    <row r="8" spans="1:9" x14ac:dyDescent="0.3">
      <c r="A8" s="14"/>
      <c r="B8" s="15"/>
      <c r="C8" s="15"/>
      <c r="D8" s="15"/>
      <c r="E8" s="15"/>
      <c r="F8" s="15"/>
      <c r="G8" s="15"/>
      <c r="H8" s="15"/>
      <c r="I8" s="16"/>
    </row>
    <row r="9" spans="1:9" ht="15.75" customHeight="1" x14ac:dyDescent="0.3">
      <c r="A9" s="85" t="s">
        <v>8</v>
      </c>
      <c r="B9" s="83"/>
      <c r="C9" s="83"/>
      <c r="D9" s="83"/>
      <c r="E9" s="83"/>
      <c r="F9" s="83"/>
      <c r="G9" s="83"/>
      <c r="H9" s="83"/>
      <c r="I9" s="84"/>
    </row>
    <row r="10" spans="1:9" x14ac:dyDescent="0.3">
      <c r="A10" s="94" t="s">
        <v>207</v>
      </c>
      <c r="B10" s="57"/>
      <c r="C10" s="57"/>
      <c r="D10" s="57"/>
      <c r="E10" s="2"/>
      <c r="F10" s="2"/>
      <c r="G10" s="2"/>
      <c r="H10" s="2"/>
      <c r="I10" s="19"/>
    </row>
    <row r="11" spans="1:9" x14ac:dyDescent="0.3">
      <c r="A11" s="78" t="s">
        <v>15</v>
      </c>
      <c r="B11" s="57"/>
      <c r="C11" s="57"/>
      <c r="D11" s="57"/>
      <c r="E11" s="13"/>
      <c r="F11" s="13"/>
      <c r="G11" s="13"/>
      <c r="H11" s="13"/>
      <c r="I11" s="17"/>
    </row>
    <row r="12" spans="1:9" x14ac:dyDescent="0.3">
      <c r="A12" s="78" t="s">
        <v>16</v>
      </c>
      <c r="B12" s="57"/>
      <c r="C12" s="57"/>
      <c r="D12" s="57"/>
      <c r="E12" s="13"/>
      <c r="F12" s="13"/>
      <c r="G12" s="13"/>
      <c r="H12" s="13"/>
      <c r="I12" s="17"/>
    </row>
    <row r="13" spans="1:9" x14ac:dyDescent="0.3">
      <c r="A13" s="78" t="s">
        <v>17</v>
      </c>
      <c r="B13" s="57"/>
      <c r="C13" s="57"/>
      <c r="D13" s="57"/>
      <c r="E13" s="13"/>
      <c r="F13" s="13"/>
      <c r="G13" s="13"/>
      <c r="H13" s="13"/>
      <c r="I13" s="17"/>
    </row>
    <row r="14" spans="1:9" x14ac:dyDescent="0.3">
      <c r="A14" s="78" t="s">
        <v>18</v>
      </c>
      <c r="B14" s="57"/>
      <c r="C14" s="57"/>
      <c r="D14" s="57"/>
      <c r="E14" s="13"/>
      <c r="F14" s="13"/>
      <c r="G14" s="13"/>
      <c r="H14" s="13"/>
      <c r="I14" s="17"/>
    </row>
    <row r="15" spans="1:9" x14ac:dyDescent="0.3">
      <c r="A15" s="14"/>
      <c r="B15" s="15"/>
      <c r="C15" s="15"/>
      <c r="D15" s="15"/>
      <c r="E15" s="15"/>
      <c r="F15" s="15"/>
      <c r="G15" s="15"/>
      <c r="H15" s="15"/>
      <c r="I15" s="16"/>
    </row>
    <row r="16" spans="1:9" ht="25.5" customHeight="1" x14ac:dyDescent="0.3">
      <c r="A16" s="92" t="s">
        <v>19</v>
      </c>
      <c r="B16" s="83"/>
      <c r="C16" s="83"/>
      <c r="D16" s="83"/>
      <c r="E16" s="83"/>
      <c r="F16" s="83"/>
      <c r="G16" s="83"/>
      <c r="H16" s="83"/>
      <c r="I16" s="84"/>
    </row>
    <row r="17" spans="1:9" x14ac:dyDescent="0.3">
      <c r="A17" s="14"/>
      <c r="B17" s="15"/>
      <c r="C17" s="15"/>
      <c r="D17" s="15"/>
      <c r="E17" s="15"/>
      <c r="F17" s="15"/>
      <c r="G17" s="15"/>
      <c r="H17" s="15"/>
      <c r="I17" s="16"/>
    </row>
    <row r="18" spans="1:9" ht="15.75" customHeight="1" x14ac:dyDescent="0.3">
      <c r="A18" s="85" t="s">
        <v>208</v>
      </c>
      <c r="B18" s="83"/>
      <c r="C18" s="83"/>
      <c r="D18" s="83"/>
      <c r="E18" s="83"/>
      <c r="F18" s="83"/>
      <c r="G18" s="83"/>
      <c r="H18" s="83"/>
      <c r="I18" s="84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/>
      <c r="F19" s="4"/>
      <c r="G19" s="4"/>
      <c r="H19" s="4"/>
      <c r="I19" s="21"/>
    </row>
    <row r="20" spans="1:9" ht="30" customHeight="1" x14ac:dyDescent="0.3">
      <c r="A20" s="22" t="s">
        <v>209</v>
      </c>
      <c r="B20" s="5" t="s">
        <v>210</v>
      </c>
      <c r="C20" s="5" t="s">
        <v>211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212</v>
      </c>
      <c r="B21" s="5" t="s">
        <v>213</v>
      </c>
      <c r="C21" s="5" t="s">
        <v>214</v>
      </c>
      <c r="D21" s="5" t="s">
        <v>215</v>
      </c>
      <c r="E21" s="6"/>
      <c r="F21" s="6"/>
      <c r="G21" s="6"/>
      <c r="H21" s="6"/>
      <c r="I21" s="23"/>
    </row>
    <row r="22" spans="1:9" ht="30" customHeight="1" x14ac:dyDescent="0.3">
      <c r="A22" s="22" t="s">
        <v>216</v>
      </c>
      <c r="B22" s="5" t="s">
        <v>217</v>
      </c>
      <c r="C22" s="5" t="s">
        <v>78</v>
      </c>
      <c r="D22" s="5" t="s">
        <v>218</v>
      </c>
      <c r="E22" s="6"/>
      <c r="F22" s="6"/>
      <c r="G22" s="6"/>
      <c r="H22" s="6"/>
      <c r="I22" s="23"/>
    </row>
    <row r="23" spans="1:9" ht="30" customHeight="1" x14ac:dyDescent="0.3">
      <c r="A23" s="22" t="s">
        <v>219</v>
      </c>
      <c r="B23" s="5" t="s">
        <v>220</v>
      </c>
      <c r="C23" s="5" t="s">
        <v>221</v>
      </c>
      <c r="D23" s="5" t="s">
        <v>222</v>
      </c>
      <c r="E23" s="6"/>
      <c r="F23" s="6"/>
      <c r="G23" s="6"/>
      <c r="H23" s="6"/>
      <c r="I23" s="23"/>
    </row>
    <row r="24" spans="1:9" ht="30" customHeight="1" x14ac:dyDescent="0.3">
      <c r="A24" s="22" t="s">
        <v>223</v>
      </c>
      <c r="B24" s="5" t="s">
        <v>224</v>
      </c>
      <c r="C24" s="5" t="s">
        <v>78</v>
      </c>
      <c r="D24" s="5" t="s">
        <v>225</v>
      </c>
      <c r="E24" s="6"/>
      <c r="F24" s="6"/>
      <c r="G24" s="6"/>
      <c r="H24" s="6"/>
      <c r="I24" s="23"/>
    </row>
    <row r="25" spans="1:9" ht="30" customHeight="1" x14ac:dyDescent="0.3">
      <c r="A25" s="22" t="s">
        <v>29</v>
      </c>
      <c r="B25" s="5" t="s">
        <v>226</v>
      </c>
      <c r="C25" s="5" t="s">
        <v>31</v>
      </c>
      <c r="D25" s="5" t="s">
        <v>227</v>
      </c>
      <c r="E25" s="6"/>
      <c r="F25" s="6"/>
      <c r="G25" s="6"/>
      <c r="H25" s="6"/>
      <c r="I25" s="23"/>
    </row>
    <row r="26" spans="1:9" ht="30" customHeight="1" x14ac:dyDescent="0.3">
      <c r="A26" s="22" t="s">
        <v>228</v>
      </c>
      <c r="B26" s="5" t="s">
        <v>229</v>
      </c>
      <c r="C26" s="5" t="s">
        <v>230</v>
      </c>
      <c r="D26" s="5" t="s">
        <v>231</v>
      </c>
      <c r="E26" s="6"/>
      <c r="F26" s="6"/>
      <c r="G26" s="6"/>
      <c r="H26" s="6"/>
      <c r="I26" s="23"/>
    </row>
    <row r="27" spans="1:9" ht="30" customHeight="1" x14ac:dyDescent="0.3">
      <c r="A27" s="22" t="s">
        <v>232</v>
      </c>
      <c r="B27" s="5" t="s">
        <v>233</v>
      </c>
      <c r="C27" s="5" t="s">
        <v>234</v>
      </c>
      <c r="D27" s="5" t="s">
        <v>235</v>
      </c>
      <c r="E27" s="6"/>
      <c r="F27" s="6"/>
      <c r="G27" s="6"/>
      <c r="H27" s="6"/>
      <c r="I27" s="23"/>
    </row>
    <row r="28" spans="1:9" ht="30" customHeight="1" x14ac:dyDescent="0.3">
      <c r="A28" s="22" t="s">
        <v>41</v>
      </c>
      <c r="B28" s="5" t="s">
        <v>236</v>
      </c>
      <c r="C28" s="5" t="s">
        <v>78</v>
      </c>
      <c r="D28" s="5" t="s">
        <v>44</v>
      </c>
      <c r="E28" s="6"/>
      <c r="F28" s="6"/>
      <c r="G28" s="6"/>
      <c r="H28" s="6"/>
      <c r="I28" s="23"/>
    </row>
    <row r="29" spans="1:9" ht="30" customHeight="1" x14ac:dyDescent="0.3">
      <c r="A29" s="22" t="s">
        <v>237</v>
      </c>
      <c r="B29" s="5" t="s">
        <v>238</v>
      </c>
      <c r="C29" s="5" t="s">
        <v>239</v>
      </c>
      <c r="D29" s="5" t="s">
        <v>240</v>
      </c>
      <c r="E29" s="6"/>
      <c r="F29" s="6"/>
      <c r="G29" s="6"/>
      <c r="H29" s="6"/>
      <c r="I29" s="23"/>
    </row>
    <row r="30" spans="1:9" ht="30" customHeight="1" x14ac:dyDescent="0.3">
      <c r="A30" s="22" t="s">
        <v>241</v>
      </c>
      <c r="B30" s="5" t="s">
        <v>242</v>
      </c>
      <c r="C30" s="5" t="s">
        <v>243</v>
      </c>
      <c r="D30" s="5" t="s">
        <v>240</v>
      </c>
      <c r="E30" s="6"/>
      <c r="F30" s="6"/>
      <c r="G30" s="6"/>
      <c r="H30" s="6"/>
      <c r="I30" s="23"/>
    </row>
    <row r="31" spans="1:9" x14ac:dyDescent="0.3">
      <c r="A31" s="78" t="s">
        <v>53</v>
      </c>
      <c r="B31" s="57"/>
      <c r="C31" s="57"/>
      <c r="D31" s="57"/>
      <c r="E31" s="7" t="str">
        <f>IFERROR(AVERAGE(E20:E30),"")</f>
        <v/>
      </c>
      <c r="F31" s="7" t="str">
        <f>IFERROR(AVERAGE(F20:F30),"")</f>
        <v/>
      </c>
      <c r="G31" s="7" t="str">
        <f>IFERROR(AVERAGE(G20:G30),"")</f>
        <v/>
      </c>
      <c r="H31" s="7" t="str">
        <f>IFERROR(AVERAGE(H20:H30),"")</f>
        <v/>
      </c>
      <c r="I31" s="24" t="str">
        <f>IFERROR(AVERAGE(I20:I30),"")</f>
        <v/>
      </c>
    </row>
    <row r="32" spans="1:9" x14ac:dyDescent="0.3">
      <c r="A32" s="82" t="s">
        <v>244</v>
      </c>
      <c r="B32" s="83"/>
      <c r="C32" s="83"/>
      <c r="D32" s="83"/>
      <c r="E32" s="83"/>
      <c r="F32" s="83"/>
      <c r="G32" s="83"/>
      <c r="H32" s="83"/>
      <c r="I32" s="84"/>
    </row>
    <row r="33" spans="1:9" x14ac:dyDescent="0.3">
      <c r="A33" s="82" t="s">
        <v>245</v>
      </c>
      <c r="B33" s="83"/>
      <c r="C33" s="83"/>
      <c r="D33" s="83"/>
      <c r="E33" s="83"/>
      <c r="F33" s="83"/>
      <c r="G33" s="83"/>
      <c r="H33" s="83"/>
      <c r="I33" s="84"/>
    </row>
    <row r="34" spans="1:9" x14ac:dyDescent="0.3">
      <c r="A34" s="14"/>
      <c r="B34" s="15"/>
      <c r="C34" s="15"/>
      <c r="D34" s="15"/>
      <c r="E34" s="15"/>
      <c r="F34" s="15"/>
      <c r="G34" s="15"/>
      <c r="H34" s="15"/>
      <c r="I34" s="16"/>
    </row>
    <row r="35" spans="1:9" ht="15.75" customHeight="1" x14ac:dyDescent="0.3">
      <c r="A35" s="85" t="s">
        <v>246</v>
      </c>
      <c r="B35" s="83"/>
      <c r="C35" s="83"/>
      <c r="D35" s="83"/>
      <c r="E35" s="83"/>
      <c r="F35" s="83"/>
      <c r="G35" s="83"/>
      <c r="H35" s="83"/>
      <c r="I35" s="84"/>
    </row>
    <row r="36" spans="1:9" ht="24" customHeight="1" x14ac:dyDescent="0.3">
      <c r="A36" s="20" t="s">
        <v>21</v>
      </c>
      <c r="B36" s="4" t="s">
        <v>22</v>
      </c>
      <c r="C36" s="4" t="s">
        <v>23</v>
      </c>
      <c r="D36" s="4" t="s">
        <v>24</v>
      </c>
      <c r="E36" s="4"/>
      <c r="F36" s="4"/>
      <c r="G36" s="4"/>
      <c r="H36" s="4"/>
      <c r="I36" s="21"/>
    </row>
    <row r="37" spans="1:9" ht="30" customHeight="1" x14ac:dyDescent="0.3">
      <c r="A37" s="22" t="s">
        <v>247</v>
      </c>
      <c r="B37" s="5" t="s">
        <v>248</v>
      </c>
      <c r="C37" s="5" t="s">
        <v>249</v>
      </c>
      <c r="D37" s="5" t="s">
        <v>250</v>
      </c>
      <c r="E37" s="6"/>
      <c r="F37" s="6"/>
      <c r="G37" s="6"/>
      <c r="H37" s="6"/>
      <c r="I37" s="23"/>
    </row>
    <row r="38" spans="1:9" ht="30" customHeight="1" x14ac:dyDescent="0.3">
      <c r="A38" s="22" t="s">
        <v>251</v>
      </c>
      <c r="B38" s="5" t="s">
        <v>252</v>
      </c>
      <c r="C38" s="5" t="s">
        <v>253</v>
      </c>
      <c r="D38" s="5" t="s">
        <v>254</v>
      </c>
      <c r="E38" s="6"/>
      <c r="F38" s="6"/>
      <c r="G38" s="6"/>
      <c r="H38" s="6"/>
      <c r="I38" s="23"/>
    </row>
    <row r="39" spans="1:9" ht="30" customHeight="1" x14ac:dyDescent="0.3">
      <c r="A39" s="22" t="s">
        <v>255</v>
      </c>
      <c r="B39" s="5" t="s">
        <v>256</v>
      </c>
      <c r="C39" s="5" t="s">
        <v>31</v>
      </c>
      <c r="D39" s="5" t="s">
        <v>257</v>
      </c>
      <c r="E39" s="6"/>
      <c r="F39" s="6"/>
      <c r="G39" s="6"/>
      <c r="H39" s="6"/>
      <c r="I39" s="23"/>
    </row>
    <row r="40" spans="1:9" ht="30" customHeight="1" x14ac:dyDescent="0.3">
      <c r="A40" s="22" t="s">
        <v>258</v>
      </c>
      <c r="B40" s="5" t="s">
        <v>259</v>
      </c>
      <c r="C40" s="5" t="s">
        <v>78</v>
      </c>
      <c r="D40" s="5" t="s">
        <v>260</v>
      </c>
      <c r="E40" s="6"/>
      <c r="F40" s="6"/>
      <c r="G40" s="6"/>
      <c r="H40" s="6"/>
      <c r="I40" s="23"/>
    </row>
    <row r="41" spans="1:9" ht="30" customHeight="1" x14ac:dyDescent="0.3">
      <c r="A41" s="22" t="s">
        <v>261</v>
      </c>
      <c r="B41" s="5" t="s">
        <v>61</v>
      </c>
      <c r="C41" s="5" t="s">
        <v>62</v>
      </c>
      <c r="D41" s="5" t="s">
        <v>262</v>
      </c>
      <c r="E41" s="6"/>
      <c r="F41" s="6"/>
      <c r="G41" s="6"/>
      <c r="H41" s="6"/>
      <c r="I41" s="23"/>
    </row>
    <row r="42" spans="1:9" ht="30" customHeight="1" x14ac:dyDescent="0.3">
      <c r="A42" s="22" t="s">
        <v>263</v>
      </c>
      <c r="B42" s="5" t="s">
        <v>264</v>
      </c>
      <c r="C42" s="5" t="s">
        <v>265</v>
      </c>
      <c r="D42" s="5" t="s">
        <v>266</v>
      </c>
      <c r="E42" s="6"/>
      <c r="F42" s="6"/>
      <c r="G42" s="6"/>
      <c r="H42" s="6"/>
      <c r="I42" s="23"/>
    </row>
    <row r="43" spans="1:9" ht="30" customHeight="1" x14ac:dyDescent="0.3">
      <c r="A43" s="22" t="s">
        <v>267</v>
      </c>
      <c r="B43" s="5" t="s">
        <v>268</v>
      </c>
      <c r="C43" s="5" t="s">
        <v>269</v>
      </c>
      <c r="D43" s="5" t="s">
        <v>240</v>
      </c>
      <c r="E43" s="6"/>
      <c r="F43" s="6"/>
      <c r="G43" s="6"/>
      <c r="H43" s="6"/>
      <c r="I43" s="23"/>
    </row>
    <row r="44" spans="1:9" x14ac:dyDescent="0.3">
      <c r="A44" s="78" t="s">
        <v>80</v>
      </c>
      <c r="B44" s="57"/>
      <c r="C44" s="57"/>
      <c r="D44" s="57"/>
      <c r="E44" s="7" t="str">
        <f>IFERROR(AVERAGE(E37:E43),"")</f>
        <v/>
      </c>
      <c r="F44" s="7" t="str">
        <f>IFERROR(AVERAGE(F37:F43),"")</f>
        <v/>
      </c>
      <c r="G44" s="7" t="str">
        <f>IFERROR(AVERAGE(G37:G43),"")</f>
        <v/>
      </c>
      <c r="H44" s="7" t="str">
        <f>IFERROR(AVERAGE(H37:H43),"")</f>
        <v/>
      </c>
      <c r="I44" s="24" t="str">
        <f>IFERROR(AVERAGE(I37:I43),"")</f>
        <v/>
      </c>
    </row>
    <row r="45" spans="1:9" x14ac:dyDescent="0.3">
      <c r="A45" s="82" t="s">
        <v>270</v>
      </c>
      <c r="B45" s="83"/>
      <c r="C45" s="83"/>
      <c r="D45" s="83"/>
      <c r="E45" s="83"/>
      <c r="F45" s="83"/>
      <c r="G45" s="83"/>
      <c r="H45" s="83"/>
      <c r="I45" s="84"/>
    </row>
    <row r="46" spans="1:9" x14ac:dyDescent="0.3">
      <c r="A46" s="82" t="s">
        <v>271</v>
      </c>
      <c r="B46" s="83"/>
      <c r="C46" s="83"/>
      <c r="D46" s="83"/>
      <c r="E46" s="83"/>
      <c r="F46" s="83"/>
      <c r="G46" s="83"/>
      <c r="H46" s="83"/>
      <c r="I46" s="84"/>
    </row>
    <row r="47" spans="1:9" x14ac:dyDescent="0.3">
      <c r="A47" s="14"/>
      <c r="B47" s="15"/>
      <c r="C47" s="15"/>
      <c r="D47" s="15"/>
      <c r="E47" s="15"/>
      <c r="F47" s="15"/>
      <c r="G47" s="15"/>
      <c r="H47" s="15"/>
      <c r="I47" s="16"/>
    </row>
    <row r="48" spans="1:9" ht="15.75" customHeight="1" x14ac:dyDescent="0.3">
      <c r="A48" s="85" t="s">
        <v>82</v>
      </c>
      <c r="B48" s="83"/>
      <c r="C48" s="83"/>
      <c r="D48" s="83"/>
      <c r="E48" s="83"/>
      <c r="F48" s="83"/>
      <c r="G48" s="83"/>
      <c r="H48" s="83"/>
      <c r="I48" s="84"/>
    </row>
    <row r="49" spans="1:9" ht="24" customHeight="1" x14ac:dyDescent="0.3">
      <c r="A49" s="20" t="s">
        <v>21</v>
      </c>
      <c r="B49" s="4" t="s">
        <v>22</v>
      </c>
      <c r="C49" s="4" t="s">
        <v>23</v>
      </c>
      <c r="D49" s="4" t="s">
        <v>24</v>
      </c>
      <c r="E49" s="4"/>
      <c r="F49" s="4"/>
      <c r="G49" s="4"/>
      <c r="H49" s="4"/>
      <c r="I49" s="21"/>
    </row>
    <row r="50" spans="1:9" ht="30" customHeight="1" x14ac:dyDescent="0.3">
      <c r="A50" s="22" t="s">
        <v>272</v>
      </c>
      <c r="B50" s="5" t="s">
        <v>273</v>
      </c>
      <c r="C50" s="5" t="s">
        <v>78</v>
      </c>
      <c r="D50" s="5" t="s">
        <v>274</v>
      </c>
      <c r="E50" s="6"/>
      <c r="F50" s="6"/>
      <c r="G50" s="6"/>
      <c r="H50" s="6"/>
      <c r="I50" s="23"/>
    </row>
    <row r="51" spans="1:9" ht="30" customHeight="1" x14ac:dyDescent="0.3">
      <c r="A51" s="22" t="s">
        <v>275</v>
      </c>
      <c r="B51" s="5" t="s">
        <v>276</v>
      </c>
      <c r="C51" s="5" t="s">
        <v>78</v>
      </c>
      <c r="D51" s="5" t="s">
        <v>277</v>
      </c>
      <c r="E51" s="6"/>
      <c r="F51" s="6"/>
      <c r="G51" s="6"/>
      <c r="H51" s="6"/>
      <c r="I51" s="23"/>
    </row>
    <row r="52" spans="1:9" ht="30" customHeight="1" x14ac:dyDescent="0.3">
      <c r="A52" s="22" t="s">
        <v>278</v>
      </c>
      <c r="B52" s="5" t="s">
        <v>279</v>
      </c>
      <c r="C52" s="5" t="s">
        <v>280</v>
      </c>
      <c r="D52" s="5" t="s">
        <v>281</v>
      </c>
      <c r="E52" s="6"/>
      <c r="F52" s="6"/>
      <c r="G52" s="6"/>
      <c r="H52" s="6"/>
      <c r="I52" s="23"/>
    </row>
    <row r="53" spans="1:9" ht="30" customHeight="1" x14ac:dyDescent="0.3">
      <c r="A53" s="22" t="s">
        <v>282</v>
      </c>
      <c r="B53" s="5" t="s">
        <v>283</v>
      </c>
      <c r="C53" s="5" t="s">
        <v>78</v>
      </c>
      <c r="D53" s="5" t="s">
        <v>284</v>
      </c>
      <c r="E53" s="6"/>
      <c r="F53" s="6"/>
      <c r="G53" s="6"/>
      <c r="H53" s="6"/>
      <c r="I53" s="23"/>
    </row>
    <row r="54" spans="1:9" ht="30" customHeight="1" x14ac:dyDescent="0.3">
      <c r="A54" s="22" t="s">
        <v>285</v>
      </c>
      <c r="B54" s="5" t="s">
        <v>286</v>
      </c>
      <c r="C54" s="5" t="s">
        <v>287</v>
      </c>
      <c r="D54" s="5" t="s">
        <v>288</v>
      </c>
      <c r="E54" s="6"/>
      <c r="F54" s="6"/>
      <c r="G54" s="6"/>
      <c r="H54" s="6"/>
      <c r="I54" s="23"/>
    </row>
    <row r="55" spans="1:9" ht="30" customHeight="1" x14ac:dyDescent="0.3">
      <c r="A55" s="22" t="s">
        <v>289</v>
      </c>
      <c r="B55" s="5" t="s">
        <v>290</v>
      </c>
      <c r="C55" s="5" t="s">
        <v>78</v>
      </c>
      <c r="D55" s="5" t="s">
        <v>291</v>
      </c>
      <c r="E55" s="6"/>
      <c r="F55" s="6"/>
      <c r="G55" s="6"/>
      <c r="H55" s="6"/>
      <c r="I55" s="23"/>
    </row>
    <row r="56" spans="1:9" ht="30" customHeight="1" x14ac:dyDescent="0.3">
      <c r="A56" s="22" t="s">
        <v>292</v>
      </c>
      <c r="B56" s="5" t="s">
        <v>293</v>
      </c>
      <c r="C56" s="5" t="s">
        <v>78</v>
      </c>
      <c r="D56" s="5" t="s">
        <v>294</v>
      </c>
      <c r="E56" s="6"/>
      <c r="F56" s="6"/>
      <c r="G56" s="6"/>
      <c r="H56" s="6"/>
      <c r="I56" s="23"/>
    </row>
    <row r="57" spans="1:9" x14ac:dyDescent="0.3">
      <c r="A57" s="78" t="s">
        <v>108</v>
      </c>
      <c r="B57" s="57"/>
      <c r="C57" s="57"/>
      <c r="D57" s="57"/>
      <c r="E57" s="7" t="str">
        <f>IFERROR(AVERAGE(E50:E56),"")</f>
        <v/>
      </c>
      <c r="F57" s="7" t="str">
        <f>IFERROR(AVERAGE(F50:F56),"")</f>
        <v/>
      </c>
      <c r="G57" s="7" t="str">
        <f>IFERROR(AVERAGE(G50:G56),"")</f>
        <v/>
      </c>
      <c r="H57" s="7" t="str">
        <f>IFERROR(AVERAGE(H50:H56),"")</f>
        <v/>
      </c>
      <c r="I57" s="24" t="str">
        <f>IFERROR(AVERAGE(I50:I56),"")</f>
        <v/>
      </c>
    </row>
    <row r="58" spans="1:9" x14ac:dyDescent="0.3">
      <c r="A58" s="82" t="s">
        <v>295</v>
      </c>
      <c r="B58" s="83"/>
      <c r="C58" s="83"/>
      <c r="D58" s="83"/>
      <c r="E58" s="83"/>
      <c r="F58" s="83"/>
      <c r="G58" s="83"/>
      <c r="H58" s="83"/>
      <c r="I58" s="84"/>
    </row>
    <row r="59" spans="1:9" x14ac:dyDescent="0.3">
      <c r="A59" s="82" t="s">
        <v>296</v>
      </c>
      <c r="B59" s="83"/>
      <c r="C59" s="83"/>
      <c r="D59" s="83"/>
      <c r="E59" s="83"/>
      <c r="F59" s="83"/>
      <c r="G59" s="83"/>
      <c r="H59" s="83"/>
      <c r="I59" s="84"/>
    </row>
    <row r="60" spans="1:9" x14ac:dyDescent="0.3">
      <c r="A60" s="14"/>
      <c r="B60" s="15"/>
      <c r="C60" s="15"/>
      <c r="D60" s="15"/>
      <c r="E60" s="15"/>
      <c r="F60" s="15"/>
      <c r="G60" s="15"/>
      <c r="H60" s="15"/>
      <c r="I60" s="16"/>
    </row>
    <row r="61" spans="1:9" ht="15.75" customHeight="1" x14ac:dyDescent="0.3">
      <c r="A61" s="85" t="s">
        <v>109</v>
      </c>
      <c r="B61" s="83"/>
      <c r="C61" s="83"/>
      <c r="D61" s="83"/>
      <c r="E61" s="83"/>
      <c r="F61" s="83"/>
      <c r="G61" s="83"/>
      <c r="H61" s="83"/>
      <c r="I61" s="84"/>
    </row>
    <row r="62" spans="1:9" ht="24" customHeight="1" x14ac:dyDescent="0.3">
      <c r="A62" s="20" t="s">
        <v>21</v>
      </c>
      <c r="B62" s="4" t="s">
        <v>22</v>
      </c>
      <c r="C62" s="4" t="s">
        <v>23</v>
      </c>
      <c r="D62" s="4" t="s">
        <v>24</v>
      </c>
      <c r="E62" s="4"/>
      <c r="F62" s="4"/>
      <c r="G62" s="4"/>
      <c r="H62" s="4"/>
      <c r="I62" s="21"/>
    </row>
    <row r="63" spans="1:9" ht="30" customHeight="1" x14ac:dyDescent="0.3">
      <c r="A63" s="22" t="s">
        <v>297</v>
      </c>
      <c r="B63" s="5" t="s">
        <v>298</v>
      </c>
      <c r="C63" s="5" t="s">
        <v>78</v>
      </c>
      <c r="D63" s="5" t="s">
        <v>299</v>
      </c>
      <c r="E63" s="6"/>
      <c r="F63" s="6"/>
      <c r="G63" s="6"/>
      <c r="H63" s="6"/>
      <c r="I63" s="23"/>
    </row>
    <row r="64" spans="1:9" ht="30" customHeight="1" x14ac:dyDescent="0.3">
      <c r="A64" s="22" t="s">
        <v>300</v>
      </c>
      <c r="B64" s="5" t="s">
        <v>301</v>
      </c>
      <c r="C64" s="5" t="s">
        <v>302</v>
      </c>
      <c r="D64" s="5" t="s">
        <v>303</v>
      </c>
      <c r="E64" s="6"/>
      <c r="F64" s="6"/>
      <c r="G64" s="6"/>
      <c r="H64" s="6"/>
      <c r="I64" s="23"/>
    </row>
    <row r="65" spans="1:9" ht="30" customHeight="1" x14ac:dyDescent="0.3">
      <c r="A65" s="22" t="s">
        <v>304</v>
      </c>
      <c r="B65" s="5" t="s">
        <v>305</v>
      </c>
      <c r="C65" s="5" t="s">
        <v>78</v>
      </c>
      <c r="D65" s="5" t="s">
        <v>306</v>
      </c>
      <c r="E65" s="6"/>
      <c r="F65" s="6"/>
      <c r="G65" s="6"/>
      <c r="H65" s="6"/>
      <c r="I65" s="23"/>
    </row>
    <row r="66" spans="1:9" ht="30" customHeight="1" x14ac:dyDescent="0.3">
      <c r="A66" s="22" t="s">
        <v>307</v>
      </c>
      <c r="B66" s="5" t="s">
        <v>308</v>
      </c>
      <c r="C66" s="5" t="s">
        <v>309</v>
      </c>
      <c r="D66" s="5" t="s">
        <v>310</v>
      </c>
      <c r="E66" s="6"/>
      <c r="F66" s="6"/>
      <c r="G66" s="6"/>
      <c r="H66" s="6"/>
      <c r="I66" s="23"/>
    </row>
    <row r="67" spans="1:9" ht="30" customHeight="1" x14ac:dyDescent="0.3">
      <c r="A67" s="22" t="s">
        <v>311</v>
      </c>
      <c r="B67" s="5" t="s">
        <v>312</v>
      </c>
      <c r="C67" s="5" t="s">
        <v>313</v>
      </c>
      <c r="D67" s="5" t="s">
        <v>314</v>
      </c>
      <c r="E67" s="6"/>
      <c r="F67" s="6"/>
      <c r="G67" s="6"/>
      <c r="H67" s="6"/>
      <c r="I67" s="23"/>
    </row>
    <row r="68" spans="1:9" ht="30" customHeight="1" x14ac:dyDescent="0.3">
      <c r="A68" s="22" t="s">
        <v>315</v>
      </c>
      <c r="B68" s="5" t="s">
        <v>316</v>
      </c>
      <c r="C68" s="5" t="s">
        <v>78</v>
      </c>
      <c r="D68" s="5" t="s">
        <v>317</v>
      </c>
      <c r="E68" s="6"/>
      <c r="F68" s="6"/>
      <c r="G68" s="6"/>
      <c r="H68" s="6"/>
      <c r="I68" s="23"/>
    </row>
    <row r="69" spans="1:9" x14ac:dyDescent="0.3">
      <c r="A69" s="78" t="s">
        <v>137</v>
      </c>
      <c r="B69" s="57"/>
      <c r="C69" s="57"/>
      <c r="D69" s="57"/>
      <c r="E69" s="7" t="str">
        <f>IFERROR(AVERAGE(E63:E68),"")</f>
        <v/>
      </c>
      <c r="F69" s="7" t="str">
        <f>IFERROR(AVERAGE(F63:F68),"")</f>
        <v/>
      </c>
      <c r="G69" s="7" t="str">
        <f>IFERROR(AVERAGE(G63:G68),"")</f>
        <v/>
      </c>
      <c r="H69" s="7" t="str">
        <f>IFERROR(AVERAGE(H63:H68),"")</f>
        <v/>
      </c>
      <c r="I69" s="24" t="str">
        <f>IFERROR(AVERAGE(I63:I68),"")</f>
        <v/>
      </c>
    </row>
    <row r="70" spans="1:9" x14ac:dyDescent="0.3">
      <c r="A70" s="82" t="s">
        <v>318</v>
      </c>
      <c r="B70" s="83"/>
      <c r="C70" s="83"/>
      <c r="D70" s="83"/>
      <c r="E70" s="83"/>
      <c r="F70" s="83"/>
      <c r="G70" s="83"/>
      <c r="H70" s="83"/>
      <c r="I70" s="84"/>
    </row>
    <row r="71" spans="1:9" x14ac:dyDescent="0.3">
      <c r="A71" s="82" t="s">
        <v>319</v>
      </c>
      <c r="B71" s="83"/>
      <c r="C71" s="83"/>
      <c r="D71" s="83"/>
      <c r="E71" s="83"/>
      <c r="F71" s="83"/>
      <c r="G71" s="83"/>
      <c r="H71" s="83"/>
      <c r="I71" s="84"/>
    </row>
    <row r="72" spans="1:9" x14ac:dyDescent="0.3">
      <c r="A72" s="14"/>
      <c r="B72" s="15"/>
      <c r="C72" s="15"/>
      <c r="D72" s="15"/>
      <c r="E72" s="15"/>
      <c r="F72" s="15"/>
      <c r="G72" s="15"/>
      <c r="H72" s="15"/>
      <c r="I72" s="16"/>
    </row>
    <row r="73" spans="1:9" ht="15.75" customHeight="1" x14ac:dyDescent="0.3">
      <c r="A73" s="85" t="s">
        <v>139</v>
      </c>
      <c r="B73" s="83"/>
      <c r="C73" s="83"/>
      <c r="D73" s="83"/>
      <c r="E73" s="83"/>
      <c r="F73" s="83"/>
      <c r="G73" s="83"/>
      <c r="H73" s="83"/>
      <c r="I73" s="84"/>
    </row>
    <row r="74" spans="1:9" ht="24" customHeight="1" x14ac:dyDescent="0.3">
      <c r="A74" s="20" t="s">
        <v>21</v>
      </c>
      <c r="B74" s="4" t="s">
        <v>22</v>
      </c>
      <c r="C74" s="4" t="s">
        <v>23</v>
      </c>
      <c r="D74" s="4" t="s">
        <v>24</v>
      </c>
      <c r="E74" s="4"/>
      <c r="F74" s="4"/>
      <c r="G74" s="4"/>
      <c r="H74" s="4"/>
      <c r="I74" s="21"/>
    </row>
    <row r="75" spans="1:9" ht="30" customHeight="1" x14ac:dyDescent="0.3">
      <c r="A75" s="22" t="s">
        <v>162</v>
      </c>
      <c r="B75" s="5" t="s">
        <v>320</v>
      </c>
      <c r="C75" s="5" t="s">
        <v>321</v>
      </c>
      <c r="D75" s="5" t="s">
        <v>322</v>
      </c>
      <c r="E75" s="6"/>
      <c r="F75" s="6"/>
      <c r="G75" s="6"/>
      <c r="H75" s="6"/>
      <c r="I75" s="23"/>
    </row>
    <row r="76" spans="1:9" ht="30" customHeight="1" x14ac:dyDescent="0.3">
      <c r="A76" s="22" t="s">
        <v>140</v>
      </c>
      <c r="B76" s="5" t="s">
        <v>320</v>
      </c>
      <c r="C76" s="5" t="s">
        <v>142</v>
      </c>
      <c r="D76" s="5" t="s">
        <v>323</v>
      </c>
      <c r="E76" s="6"/>
      <c r="F76" s="6"/>
      <c r="G76" s="6"/>
      <c r="H76" s="6"/>
      <c r="I76" s="23"/>
    </row>
    <row r="77" spans="1:9" ht="30" customHeight="1" x14ac:dyDescent="0.3">
      <c r="A77" s="22" t="s">
        <v>324</v>
      </c>
      <c r="B77" s="5" t="s">
        <v>325</v>
      </c>
      <c r="C77" s="5" t="s">
        <v>280</v>
      </c>
      <c r="D77" s="5" t="s">
        <v>326</v>
      </c>
      <c r="E77" s="6"/>
      <c r="F77" s="6"/>
      <c r="G77" s="6"/>
      <c r="H77" s="6"/>
      <c r="I77" s="23"/>
    </row>
    <row r="78" spans="1:9" ht="30" customHeight="1" x14ac:dyDescent="0.3">
      <c r="A78" s="22" t="s">
        <v>327</v>
      </c>
      <c r="B78" s="5" t="s">
        <v>328</v>
      </c>
      <c r="C78" s="5" t="s">
        <v>78</v>
      </c>
      <c r="D78" s="5" t="s">
        <v>329</v>
      </c>
      <c r="E78" s="6"/>
      <c r="F78" s="6"/>
      <c r="G78" s="6"/>
      <c r="H78" s="6"/>
      <c r="I78" s="23"/>
    </row>
    <row r="79" spans="1:9" ht="30" customHeight="1" x14ac:dyDescent="0.3">
      <c r="A79" s="22" t="s">
        <v>330</v>
      </c>
      <c r="B79" s="5" t="s">
        <v>331</v>
      </c>
      <c r="C79" s="5" t="s">
        <v>78</v>
      </c>
      <c r="D79" s="5" t="s">
        <v>332</v>
      </c>
      <c r="E79" s="6"/>
      <c r="F79" s="6"/>
      <c r="G79" s="6"/>
      <c r="H79" s="6"/>
      <c r="I79" s="23"/>
    </row>
    <row r="80" spans="1:9" ht="30" customHeight="1" x14ac:dyDescent="0.3">
      <c r="A80" s="22" t="s">
        <v>333</v>
      </c>
      <c r="B80" s="5" t="s">
        <v>334</v>
      </c>
      <c r="C80" s="5" t="s">
        <v>78</v>
      </c>
      <c r="D80" s="5" t="s">
        <v>335</v>
      </c>
      <c r="E80" s="6"/>
      <c r="F80" s="6"/>
      <c r="G80" s="6"/>
      <c r="H80" s="6"/>
      <c r="I80" s="23"/>
    </row>
    <row r="81" spans="1:9" ht="30" customHeight="1" x14ac:dyDescent="0.3">
      <c r="A81" s="22" t="s">
        <v>336</v>
      </c>
      <c r="B81" s="5" t="s">
        <v>155</v>
      </c>
      <c r="C81" s="5" t="s">
        <v>156</v>
      </c>
      <c r="D81" s="5" t="s">
        <v>157</v>
      </c>
      <c r="E81" s="6"/>
      <c r="F81" s="6"/>
      <c r="G81" s="6"/>
      <c r="H81" s="6"/>
      <c r="I81" s="23"/>
    </row>
    <row r="82" spans="1:9" ht="30" customHeight="1" x14ac:dyDescent="0.3">
      <c r="A82" s="22" t="s">
        <v>337</v>
      </c>
      <c r="B82" s="5" t="s">
        <v>338</v>
      </c>
      <c r="C82" s="5" t="s">
        <v>339</v>
      </c>
      <c r="D82" s="5" t="s">
        <v>340</v>
      </c>
      <c r="E82" s="6"/>
      <c r="F82" s="6"/>
      <c r="G82" s="6"/>
      <c r="H82" s="6"/>
      <c r="I82" s="23"/>
    </row>
    <row r="83" spans="1:9" ht="30" customHeight="1" x14ac:dyDescent="0.3">
      <c r="A83" s="22" t="s">
        <v>341</v>
      </c>
      <c r="B83" s="5" t="s">
        <v>342</v>
      </c>
      <c r="C83" s="5" t="s">
        <v>78</v>
      </c>
      <c r="D83" s="5" t="s">
        <v>343</v>
      </c>
      <c r="E83" s="6"/>
      <c r="F83" s="6"/>
      <c r="G83" s="6"/>
      <c r="H83" s="6"/>
      <c r="I83" s="23"/>
    </row>
    <row r="84" spans="1:9" x14ac:dyDescent="0.3">
      <c r="A84" s="78" t="s">
        <v>166</v>
      </c>
      <c r="B84" s="57"/>
      <c r="C84" s="57"/>
      <c r="D84" s="57"/>
      <c r="E84" s="7" t="str">
        <f>IFERROR(AVERAGE(E75:E83),"")</f>
        <v/>
      </c>
      <c r="F84" s="7" t="str">
        <f>IFERROR(AVERAGE(F75:F83),"")</f>
        <v/>
      </c>
      <c r="G84" s="7" t="str">
        <f>IFERROR(AVERAGE(G75:G83),"")</f>
        <v/>
      </c>
      <c r="H84" s="7" t="str">
        <f>IFERROR(AVERAGE(H75:H83),"")</f>
        <v/>
      </c>
      <c r="I84" s="24" t="str">
        <f>IFERROR(AVERAGE(I75:I83),"")</f>
        <v/>
      </c>
    </row>
    <row r="85" spans="1:9" x14ac:dyDescent="0.3">
      <c r="A85" s="82" t="s">
        <v>344</v>
      </c>
      <c r="B85" s="83"/>
      <c r="C85" s="83"/>
      <c r="D85" s="83"/>
      <c r="E85" s="83"/>
      <c r="F85" s="83"/>
      <c r="G85" s="83"/>
      <c r="H85" s="83"/>
      <c r="I85" s="84"/>
    </row>
    <row r="86" spans="1:9" x14ac:dyDescent="0.3">
      <c r="A86" s="82" t="s">
        <v>345</v>
      </c>
      <c r="B86" s="83"/>
      <c r="C86" s="83"/>
      <c r="D86" s="83"/>
      <c r="E86" s="83"/>
      <c r="F86" s="83"/>
      <c r="G86" s="83"/>
      <c r="H86" s="83"/>
      <c r="I86" s="84"/>
    </row>
    <row r="87" spans="1:9" x14ac:dyDescent="0.3">
      <c r="A87" s="14"/>
      <c r="B87" s="15"/>
      <c r="C87" s="15"/>
      <c r="D87" s="15"/>
      <c r="E87" s="15"/>
      <c r="F87" s="15"/>
      <c r="G87" s="15"/>
      <c r="H87" s="15"/>
      <c r="I87" s="16"/>
    </row>
    <row r="88" spans="1:9" ht="15.75" customHeight="1" x14ac:dyDescent="0.3">
      <c r="A88" s="85" t="s">
        <v>167</v>
      </c>
      <c r="B88" s="83"/>
      <c r="C88" s="83"/>
      <c r="D88" s="83"/>
      <c r="E88" s="83"/>
      <c r="F88" s="83"/>
      <c r="G88" s="83"/>
      <c r="H88" s="83"/>
      <c r="I88" s="84"/>
    </row>
    <row r="89" spans="1:9" ht="24" customHeight="1" x14ac:dyDescent="0.3">
      <c r="A89" s="20" t="s">
        <v>21</v>
      </c>
      <c r="B89" s="4" t="s">
        <v>22</v>
      </c>
      <c r="C89" s="4" t="s">
        <v>23</v>
      </c>
      <c r="D89" s="4" t="s">
        <v>24</v>
      </c>
      <c r="E89" s="4"/>
      <c r="F89" s="4"/>
      <c r="G89" s="4"/>
      <c r="H89" s="4"/>
      <c r="I89" s="21"/>
    </row>
    <row r="90" spans="1:9" ht="30" customHeight="1" x14ac:dyDescent="0.3">
      <c r="A90" s="22" t="s">
        <v>346</v>
      </c>
      <c r="B90" s="5" t="s">
        <v>347</v>
      </c>
      <c r="C90" s="5" t="s">
        <v>348</v>
      </c>
      <c r="D90" s="5" t="s">
        <v>349</v>
      </c>
      <c r="E90" s="6"/>
      <c r="F90" s="6"/>
      <c r="G90" s="6"/>
      <c r="H90" s="6"/>
      <c r="I90" s="23"/>
    </row>
    <row r="91" spans="1:9" ht="30" customHeight="1" x14ac:dyDescent="0.3">
      <c r="A91" s="22" t="s">
        <v>350</v>
      </c>
      <c r="B91" s="5" t="s">
        <v>351</v>
      </c>
      <c r="C91" s="5" t="s">
        <v>352</v>
      </c>
      <c r="D91" s="5" t="s">
        <v>353</v>
      </c>
      <c r="E91" s="6"/>
      <c r="F91" s="6"/>
      <c r="G91" s="6"/>
      <c r="H91" s="6"/>
      <c r="I91" s="23"/>
    </row>
    <row r="92" spans="1:9" ht="30" customHeight="1" x14ac:dyDescent="0.3">
      <c r="A92" s="22" t="s">
        <v>180</v>
      </c>
      <c r="B92" s="5" t="s">
        <v>181</v>
      </c>
      <c r="C92" s="5" t="s">
        <v>182</v>
      </c>
      <c r="D92" s="5" t="s">
        <v>354</v>
      </c>
      <c r="E92" s="6"/>
      <c r="F92" s="6"/>
      <c r="G92" s="6"/>
      <c r="H92" s="6"/>
      <c r="I92" s="23"/>
    </row>
    <row r="93" spans="1:9" ht="30" customHeight="1" x14ac:dyDescent="0.3">
      <c r="A93" s="22" t="s">
        <v>355</v>
      </c>
      <c r="B93" s="5" t="s">
        <v>177</v>
      </c>
      <c r="C93" s="5" t="s">
        <v>78</v>
      </c>
      <c r="D93" s="5" t="s">
        <v>356</v>
      </c>
      <c r="E93" s="6"/>
      <c r="F93" s="6"/>
      <c r="G93" s="6"/>
      <c r="H93" s="6"/>
      <c r="I93" s="23"/>
    </row>
    <row r="94" spans="1:9" ht="30" customHeight="1" x14ac:dyDescent="0.3">
      <c r="A94" s="22" t="s">
        <v>357</v>
      </c>
      <c r="B94" s="5" t="s">
        <v>99</v>
      </c>
      <c r="C94" s="5" t="s">
        <v>169</v>
      </c>
      <c r="D94" s="5" t="s">
        <v>358</v>
      </c>
      <c r="E94" s="6"/>
      <c r="F94" s="6"/>
      <c r="G94" s="6"/>
      <c r="H94" s="6"/>
      <c r="I94" s="23"/>
    </row>
    <row r="95" spans="1:9" x14ac:dyDescent="0.3">
      <c r="A95" s="78" t="s">
        <v>184</v>
      </c>
      <c r="B95" s="57"/>
      <c r="C95" s="57"/>
      <c r="D95" s="57"/>
      <c r="E95" s="7" t="str">
        <f>IFERROR(AVERAGE(E90:E94),"")</f>
        <v/>
      </c>
      <c r="F95" s="7" t="str">
        <f>IFERROR(AVERAGE(F90:F94),"")</f>
        <v/>
      </c>
      <c r="G95" s="7" t="str">
        <f>IFERROR(AVERAGE(G90:G94),"")</f>
        <v/>
      </c>
      <c r="H95" s="7" t="str">
        <f>IFERROR(AVERAGE(H90:H94),"")</f>
        <v/>
      </c>
      <c r="I95" s="24" t="str">
        <f>IFERROR(AVERAGE(I90:I94),"")</f>
        <v/>
      </c>
    </row>
    <row r="96" spans="1:9" x14ac:dyDescent="0.3">
      <c r="A96" s="82" t="s">
        <v>359</v>
      </c>
      <c r="B96" s="83"/>
      <c r="C96" s="83"/>
      <c r="D96" s="83"/>
      <c r="E96" s="83"/>
      <c r="F96" s="83"/>
      <c r="G96" s="83"/>
      <c r="H96" s="83"/>
      <c r="I96" s="84"/>
    </row>
    <row r="97" spans="1:9" x14ac:dyDescent="0.3">
      <c r="A97" s="82" t="s">
        <v>360</v>
      </c>
      <c r="B97" s="83"/>
      <c r="C97" s="83"/>
      <c r="D97" s="83"/>
      <c r="E97" s="83"/>
      <c r="F97" s="83"/>
      <c r="G97" s="83"/>
      <c r="H97" s="83"/>
      <c r="I97" s="84"/>
    </row>
    <row r="98" spans="1:9" x14ac:dyDescent="0.3">
      <c r="A98" s="14"/>
      <c r="B98" s="15"/>
      <c r="C98" s="15"/>
      <c r="D98" s="15"/>
      <c r="E98" s="15"/>
      <c r="F98" s="15"/>
      <c r="G98" s="15"/>
      <c r="H98" s="15"/>
      <c r="I98" s="16"/>
    </row>
    <row r="99" spans="1:9" ht="15.75" customHeight="1" x14ac:dyDescent="0.3">
      <c r="A99" s="86" t="s">
        <v>361</v>
      </c>
      <c r="B99" s="83"/>
      <c r="C99" s="83"/>
      <c r="D99" s="83"/>
      <c r="E99" s="83"/>
      <c r="F99" s="83"/>
      <c r="G99" s="83"/>
      <c r="H99" s="83"/>
      <c r="I99" s="84"/>
    </row>
    <row r="100" spans="1:9" x14ac:dyDescent="0.3">
      <c r="A100" s="88" t="s">
        <v>362</v>
      </c>
      <c r="B100" s="83"/>
      <c r="C100" s="83"/>
      <c r="D100" s="83"/>
      <c r="E100" s="83"/>
      <c r="F100" s="83"/>
      <c r="G100" s="83"/>
      <c r="H100" s="83"/>
      <c r="I100" s="84"/>
    </row>
    <row r="101" spans="1:9" x14ac:dyDescent="0.3">
      <c r="A101" s="88" t="s">
        <v>363</v>
      </c>
      <c r="B101" s="83"/>
      <c r="C101" s="83"/>
      <c r="D101" s="83"/>
      <c r="E101" s="83"/>
      <c r="F101" s="83"/>
      <c r="G101" s="83"/>
      <c r="H101" s="83"/>
      <c r="I101" s="84"/>
    </row>
    <row r="102" spans="1:9" x14ac:dyDescent="0.3">
      <c r="A102" s="88" t="s">
        <v>364</v>
      </c>
      <c r="B102" s="83"/>
      <c r="C102" s="83"/>
      <c r="D102" s="83"/>
      <c r="E102" s="83"/>
      <c r="F102" s="83"/>
      <c r="G102" s="83"/>
      <c r="H102" s="83"/>
      <c r="I102" s="84"/>
    </row>
    <row r="103" spans="1:9" x14ac:dyDescent="0.3">
      <c r="A103" s="88" t="s">
        <v>365</v>
      </c>
      <c r="B103" s="83"/>
      <c r="C103" s="83"/>
      <c r="D103" s="83"/>
      <c r="E103" s="83"/>
      <c r="F103" s="83"/>
      <c r="G103" s="83"/>
      <c r="H103" s="83"/>
      <c r="I103" s="84"/>
    </row>
    <row r="104" spans="1:9" x14ac:dyDescent="0.3">
      <c r="A104" s="88" t="s">
        <v>366</v>
      </c>
      <c r="B104" s="83"/>
      <c r="C104" s="83"/>
      <c r="D104" s="83"/>
      <c r="E104" s="83"/>
      <c r="F104" s="83"/>
      <c r="G104" s="83"/>
      <c r="H104" s="83"/>
      <c r="I104" s="84"/>
    </row>
    <row r="105" spans="1:9" x14ac:dyDescent="0.3">
      <c r="A105" s="88" t="s">
        <v>367</v>
      </c>
      <c r="B105" s="83"/>
      <c r="C105" s="83"/>
      <c r="D105" s="83"/>
      <c r="E105" s="83"/>
      <c r="F105" s="83"/>
      <c r="G105" s="83"/>
      <c r="H105" s="83"/>
      <c r="I105" s="84"/>
    </row>
    <row r="106" spans="1:9" x14ac:dyDescent="0.3">
      <c r="A106" s="14"/>
      <c r="B106" s="15"/>
      <c r="C106" s="15"/>
      <c r="D106" s="15"/>
      <c r="E106" s="15"/>
      <c r="F106" s="15"/>
      <c r="G106" s="15"/>
      <c r="H106" s="15"/>
      <c r="I106" s="16"/>
    </row>
    <row r="107" spans="1:9" ht="15.75" customHeight="1" x14ac:dyDescent="0.3">
      <c r="A107" s="85" t="s">
        <v>185</v>
      </c>
      <c r="B107" s="83"/>
      <c r="C107" s="83"/>
      <c r="D107" s="83"/>
      <c r="E107" s="83"/>
      <c r="F107" s="83"/>
      <c r="G107" s="83"/>
      <c r="H107" s="83"/>
      <c r="I107" s="84"/>
    </row>
    <row r="108" spans="1:9" ht="24" customHeight="1" x14ac:dyDescent="0.3">
      <c r="A108" s="20" t="s">
        <v>21</v>
      </c>
      <c r="B108" s="4" t="s">
        <v>22</v>
      </c>
      <c r="C108" s="4" t="s">
        <v>23</v>
      </c>
      <c r="D108" s="4" t="s">
        <v>24</v>
      </c>
      <c r="E108" s="4" t="s">
        <v>10</v>
      </c>
      <c r="F108" s="4" t="s">
        <v>11</v>
      </c>
      <c r="G108" s="4" t="s">
        <v>12</v>
      </c>
      <c r="H108" s="4" t="s">
        <v>13</v>
      </c>
      <c r="I108" s="21" t="s">
        <v>14</v>
      </c>
    </row>
    <row r="109" spans="1:9" ht="19.5" customHeight="1" x14ac:dyDescent="0.3">
      <c r="A109" s="25" t="s">
        <v>186</v>
      </c>
      <c r="B109" s="8" t="s">
        <v>187</v>
      </c>
      <c r="C109" s="8" t="s">
        <v>188</v>
      </c>
      <c r="D109" s="8" t="s">
        <v>189</v>
      </c>
      <c r="E109" s="9"/>
      <c r="F109" s="9"/>
      <c r="G109" s="9"/>
      <c r="H109" s="9"/>
      <c r="I109" s="26"/>
    </row>
    <row r="110" spans="1:9" x14ac:dyDescent="0.3">
      <c r="A110" s="14"/>
      <c r="B110" s="15"/>
      <c r="C110" s="15"/>
      <c r="D110" s="15"/>
      <c r="E110" s="15"/>
      <c r="F110" s="15"/>
      <c r="G110" s="15"/>
      <c r="H110" s="15"/>
      <c r="I110" s="16"/>
    </row>
    <row r="111" spans="1:9" ht="15.75" customHeight="1" x14ac:dyDescent="0.3">
      <c r="A111" s="87" t="s">
        <v>190</v>
      </c>
      <c r="B111" s="83"/>
      <c r="C111" s="83"/>
      <c r="D111" s="83"/>
      <c r="E111" s="83"/>
      <c r="F111" s="83"/>
      <c r="G111" s="83"/>
      <c r="H111" s="83"/>
      <c r="I111" s="84"/>
    </row>
    <row r="112" spans="1:9" x14ac:dyDescent="0.3">
      <c r="A112" s="94" t="s">
        <v>191</v>
      </c>
      <c r="B112" s="57"/>
      <c r="C112" s="57"/>
      <c r="D112" s="57"/>
      <c r="E112" s="10" t="s">
        <v>10</v>
      </c>
      <c r="F112" s="10" t="s">
        <v>11</v>
      </c>
      <c r="G112" s="10" t="s">
        <v>12</v>
      </c>
      <c r="H112" s="10" t="s">
        <v>13</v>
      </c>
      <c r="I112" s="27" t="s">
        <v>14</v>
      </c>
    </row>
    <row r="113" spans="1:9" x14ac:dyDescent="0.3">
      <c r="A113" s="78" t="s">
        <v>192</v>
      </c>
      <c r="B113" s="57"/>
      <c r="C113" s="57"/>
      <c r="D113" s="57"/>
      <c r="E113" s="11" t="str">
        <f>IFERROR(AVERAGE(E20:E30,E37:E43,E50:E56,E63:E68,E75:E83,E90:E94),"")</f>
        <v/>
      </c>
      <c r="F113" s="11" t="str">
        <f>IFERROR(AVERAGE(F20:F30,F37:F43,F50:F56,F63:F68,F75:F83,F90:F94),"")</f>
        <v/>
      </c>
      <c r="G113" s="11" t="str">
        <f>IFERROR(AVERAGE(G20:G30,G37:G43,G50:G56,G63:G68,G75:G83,G90:G94),"")</f>
        <v/>
      </c>
      <c r="H113" s="11" t="str">
        <f>IFERROR(AVERAGE(H20:H30,H37:H43,H50:H56,H63:H68,H75:H83,H90:H94),"")</f>
        <v/>
      </c>
      <c r="I113" s="28" t="str">
        <f>IFERROR(AVERAGE(I20:I30,I37:I43,I50:I56,I63:I68,I75:I83,I90:I94),"")</f>
        <v/>
      </c>
    </row>
    <row r="114" spans="1:9" x14ac:dyDescent="0.3">
      <c r="A114" s="78" t="s">
        <v>193</v>
      </c>
      <c r="B114" s="57"/>
      <c r="C114" s="57"/>
      <c r="D114" s="57"/>
      <c r="E114" s="11">
        <f>IFERROR(E109,"")</f>
        <v>0</v>
      </c>
      <c r="F114" s="11">
        <f>IFERROR(F109,"")</f>
        <v>0</v>
      </c>
      <c r="G114" s="11">
        <f>IFERROR(G109,"")</f>
        <v>0</v>
      </c>
      <c r="H114" s="11">
        <f>IFERROR(H109,"")</f>
        <v>0</v>
      </c>
      <c r="I114" s="28">
        <f>IFERROR(I109,"")</f>
        <v>0</v>
      </c>
    </row>
    <row r="115" spans="1:9" x14ac:dyDescent="0.3">
      <c r="A115" s="78" t="s">
        <v>194</v>
      </c>
      <c r="B115" s="57"/>
      <c r="C115" s="57"/>
      <c r="D115" s="57"/>
      <c r="E115" s="7">
        <f>IFERROR(AVERAGE(E113,E114),"")</f>
        <v>0</v>
      </c>
      <c r="F115" s="7">
        <f>IFERROR(AVERAGE(F113,F114),"")</f>
        <v>0</v>
      </c>
      <c r="G115" s="7">
        <f>IFERROR(AVERAGE(G113,G114),"")</f>
        <v>0</v>
      </c>
      <c r="H115" s="7">
        <f>IFERROR(AVERAGE(H113,H114),"")</f>
        <v>0</v>
      </c>
      <c r="I115" s="24">
        <f>IFERROR(AVERAGE(I113,I114),"")</f>
        <v>0</v>
      </c>
    </row>
    <row r="116" spans="1:9" x14ac:dyDescent="0.3">
      <c r="A116" s="95" t="s">
        <v>195</v>
      </c>
      <c r="B116" s="57"/>
      <c r="C116" s="57"/>
      <c r="D116" s="57"/>
      <c r="E116" s="12">
        <f>IFERROR(ABS(E115-3),"")</f>
        <v>3</v>
      </c>
      <c r="F116" s="12">
        <f>IFERROR(ABS(F115-3),"")</f>
        <v>3</v>
      </c>
      <c r="G116" s="12">
        <f>IFERROR(ABS(G115-3),"")</f>
        <v>3</v>
      </c>
      <c r="H116" s="12">
        <f>IFERROR(ABS(H115-3),"")</f>
        <v>3</v>
      </c>
      <c r="I116" s="29">
        <f>IFERROR(ABS(I115-3),"")</f>
        <v>3</v>
      </c>
    </row>
    <row r="117" spans="1:9" x14ac:dyDescent="0.3">
      <c r="A117" s="78" t="s">
        <v>196</v>
      </c>
      <c r="B117" s="57"/>
      <c r="C117" s="57"/>
      <c r="D117" s="57"/>
      <c r="E117" s="10">
        <f>IFERROR(RANK(E116,$E$116:$I$116,1),"")</f>
        <v>1</v>
      </c>
      <c r="F117" s="10">
        <f>IFERROR(RANK(F116,$E$116:$I$116,1),"")</f>
        <v>1</v>
      </c>
      <c r="G117" s="10">
        <f>IFERROR(RANK(G116,$E$116:$I$116,1),"")</f>
        <v>1</v>
      </c>
      <c r="H117" s="10">
        <f>IFERROR(RANK(H116,$E$116:$I$116,1),"")</f>
        <v>1</v>
      </c>
      <c r="I117" s="27">
        <f>IFERROR(RANK(I116,$E$116:$I$116,1),"")</f>
        <v>1</v>
      </c>
    </row>
    <row r="118" spans="1:9" x14ac:dyDescent="0.3">
      <c r="A118" s="14"/>
      <c r="B118" s="15"/>
      <c r="C118" s="15"/>
      <c r="D118" s="15"/>
      <c r="E118" s="15"/>
      <c r="F118" s="15"/>
      <c r="G118" s="15"/>
      <c r="H118" s="15"/>
      <c r="I118" s="16"/>
    </row>
    <row r="119" spans="1:9" x14ac:dyDescent="0.3">
      <c r="A119" s="86" t="s">
        <v>197</v>
      </c>
      <c r="B119" s="83"/>
      <c r="C119" s="83"/>
      <c r="D119" s="83"/>
      <c r="E119" s="83"/>
      <c r="F119" s="83"/>
      <c r="G119" s="83"/>
      <c r="H119" s="83"/>
      <c r="I119" s="84"/>
    </row>
    <row r="120" spans="1:9" ht="18" customHeight="1" x14ac:dyDescent="0.3">
      <c r="A120" s="33" t="s">
        <v>198</v>
      </c>
      <c r="B120" s="79"/>
      <c r="C120" s="57"/>
      <c r="D120" s="57"/>
      <c r="E120" s="57"/>
      <c r="F120" s="57"/>
      <c r="G120" s="57"/>
      <c r="H120" s="57"/>
      <c r="I120" s="80"/>
    </row>
    <row r="121" spans="1:9" ht="18" customHeight="1" x14ac:dyDescent="0.3">
      <c r="A121" s="33" t="s">
        <v>199</v>
      </c>
      <c r="B121" s="79"/>
      <c r="C121" s="57"/>
      <c r="D121" s="57"/>
      <c r="E121" s="57"/>
      <c r="F121" s="57"/>
      <c r="G121" s="57"/>
      <c r="H121" s="57"/>
      <c r="I121" s="80"/>
    </row>
    <row r="122" spans="1:9" ht="18" customHeight="1" x14ac:dyDescent="0.3">
      <c r="A122" s="33" t="s">
        <v>200</v>
      </c>
      <c r="B122" s="79"/>
      <c r="C122" s="57"/>
      <c r="D122" s="57"/>
      <c r="E122" s="57"/>
      <c r="F122" s="57"/>
      <c r="G122" s="57"/>
      <c r="H122" s="57"/>
      <c r="I122" s="80"/>
    </row>
    <row r="123" spans="1:9" ht="18" customHeight="1" x14ac:dyDescent="0.3">
      <c r="A123" s="33" t="s">
        <v>201</v>
      </c>
      <c r="B123" s="79"/>
      <c r="C123" s="57"/>
      <c r="D123" s="57"/>
      <c r="E123" s="57"/>
      <c r="F123" s="57"/>
      <c r="G123" s="57"/>
      <c r="H123" s="57"/>
      <c r="I123" s="80"/>
    </row>
    <row r="124" spans="1:9" ht="18" customHeight="1" x14ac:dyDescent="0.3">
      <c r="A124" s="33" t="s">
        <v>202</v>
      </c>
      <c r="B124" s="79"/>
      <c r="C124" s="57"/>
      <c r="D124" s="57"/>
      <c r="E124" s="57"/>
      <c r="F124" s="57"/>
      <c r="G124" s="57"/>
      <c r="H124" s="57"/>
      <c r="I124" s="80"/>
    </row>
    <row r="125" spans="1:9" x14ac:dyDescent="0.3">
      <c r="A125" s="14"/>
      <c r="B125" s="15"/>
      <c r="C125" s="15"/>
      <c r="D125" s="15"/>
      <c r="E125" s="15"/>
      <c r="F125" s="15"/>
      <c r="G125" s="15"/>
      <c r="H125" s="15"/>
      <c r="I125" s="16"/>
    </row>
    <row r="126" spans="1:9" ht="15" customHeight="1" thickBot="1" x14ac:dyDescent="0.35">
      <c r="A126" s="30" t="s">
        <v>203</v>
      </c>
      <c r="B126" s="76"/>
      <c r="C126" s="77"/>
      <c r="D126" s="31" t="s">
        <v>204</v>
      </c>
      <c r="E126" s="76"/>
      <c r="F126" s="77"/>
      <c r="G126" s="77"/>
      <c r="H126" s="77"/>
      <c r="I126" s="32" t="s">
        <v>4</v>
      </c>
    </row>
  </sheetData>
  <mergeCells count="63">
    <mergeCell ref="B121:I121"/>
    <mergeCell ref="A18:I18"/>
    <mergeCell ref="A112:D112"/>
    <mergeCell ref="A96:I96"/>
    <mergeCell ref="B122:I122"/>
    <mergeCell ref="A10:D10"/>
    <mergeCell ref="A117:D117"/>
    <mergeCell ref="A115:D115"/>
    <mergeCell ref="A101:I101"/>
    <mergeCell ref="A13:D13"/>
    <mergeCell ref="A86:I86"/>
    <mergeCell ref="A104:I104"/>
    <mergeCell ref="A44:D44"/>
    <mergeCell ref="A85:I85"/>
    <mergeCell ref="A114:D114"/>
    <mergeCell ref="B120:I120"/>
    <mergeCell ref="A97:I97"/>
    <mergeCell ref="A100:I100"/>
    <mergeCell ref="A116:D116"/>
    <mergeCell ref="A99:I99"/>
    <mergeCell ref="A2:I2"/>
    <mergeCell ref="A31:D31"/>
    <mergeCell ref="A33:I33"/>
    <mergeCell ref="A5:C5"/>
    <mergeCell ref="A71:I71"/>
    <mergeCell ref="A32:I32"/>
    <mergeCell ref="A16:I16"/>
    <mergeCell ref="A11:D11"/>
    <mergeCell ref="A35:I35"/>
    <mergeCell ref="A12:D12"/>
    <mergeCell ref="A3:I3"/>
    <mergeCell ref="B7:C7"/>
    <mergeCell ref="A46:I46"/>
    <mergeCell ref="D5:I5"/>
    <mergeCell ref="A111:I111"/>
    <mergeCell ref="A102:I102"/>
    <mergeCell ref="A9:I9"/>
    <mergeCell ref="A58:I58"/>
    <mergeCell ref="A48:I48"/>
    <mergeCell ref="A84:D84"/>
    <mergeCell ref="A59:I59"/>
    <mergeCell ref="B6:C6"/>
    <mergeCell ref="A73:I73"/>
    <mergeCell ref="E7:I7"/>
    <mergeCell ref="A107:I107"/>
    <mergeCell ref="A103:I103"/>
    <mergeCell ref="A105:I105"/>
    <mergeCell ref="B126:C126"/>
    <mergeCell ref="A14:D14"/>
    <mergeCell ref="B124:I124"/>
    <mergeCell ref="A1:I1"/>
    <mergeCell ref="A45:I45"/>
    <mergeCell ref="A70:I70"/>
    <mergeCell ref="A88:I88"/>
    <mergeCell ref="A57:D57"/>
    <mergeCell ref="A61:I61"/>
    <mergeCell ref="A95:D95"/>
    <mergeCell ref="A113:D113"/>
    <mergeCell ref="A119:I119"/>
    <mergeCell ref="B123:I123"/>
    <mergeCell ref="E126:H126"/>
    <mergeCell ref="E6:I6"/>
    <mergeCell ref="A69:D69"/>
  </mergeCells>
  <printOptions horizontalCentered="1"/>
  <pageMargins left="0.75" right="0.75" top="1" bottom="1" header="0.511811023622047" footer="0.511811023622047"/>
  <pageSetup scale="61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7"/>
  <sheetViews>
    <sheetView showGridLines="0" zoomScaleNormal="100" workbookViewId="0">
      <selection activeCell="L9" sqref="L9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368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369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370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25</v>
      </c>
      <c r="B20" s="5" t="s">
        <v>248</v>
      </c>
      <c r="C20" s="5" t="s">
        <v>371</v>
      </c>
      <c r="D20" s="5" t="s">
        <v>372</v>
      </c>
      <c r="E20" s="6"/>
      <c r="F20" s="6"/>
      <c r="G20" s="6"/>
      <c r="H20" s="6"/>
      <c r="I20" s="23"/>
    </row>
    <row r="21" spans="1:9" ht="30" customHeight="1" x14ac:dyDescent="0.3">
      <c r="A21" s="22" t="s">
        <v>29</v>
      </c>
      <c r="B21" s="5" t="s">
        <v>373</v>
      </c>
      <c r="C21" s="5" t="s">
        <v>31</v>
      </c>
      <c r="D21" s="5" t="s">
        <v>227</v>
      </c>
      <c r="E21" s="6"/>
      <c r="F21" s="6"/>
      <c r="G21" s="6"/>
      <c r="H21" s="6"/>
      <c r="I21" s="23"/>
    </row>
    <row r="22" spans="1:9" ht="30" customHeight="1" x14ac:dyDescent="0.3">
      <c r="A22" s="22" t="s">
        <v>374</v>
      </c>
      <c r="B22" s="5" t="s">
        <v>220</v>
      </c>
      <c r="C22" s="5" t="s">
        <v>375</v>
      </c>
      <c r="D22" s="5" t="s">
        <v>222</v>
      </c>
      <c r="E22" s="6"/>
      <c r="F22" s="6"/>
      <c r="G22" s="6"/>
      <c r="H22" s="6"/>
      <c r="I22" s="23"/>
    </row>
    <row r="23" spans="1:9" ht="30" customHeight="1" x14ac:dyDescent="0.3">
      <c r="A23" s="22" t="s">
        <v>376</v>
      </c>
      <c r="B23" s="5" t="s">
        <v>377</v>
      </c>
      <c r="C23" s="5" t="s">
        <v>378</v>
      </c>
      <c r="D23" s="5" t="s">
        <v>379</v>
      </c>
      <c r="E23" s="6"/>
      <c r="F23" s="6"/>
      <c r="G23" s="6"/>
      <c r="H23" s="6"/>
      <c r="I23" s="23"/>
    </row>
    <row r="24" spans="1:9" ht="30" customHeight="1" x14ac:dyDescent="0.3">
      <c r="A24" s="22" t="s">
        <v>41</v>
      </c>
      <c r="B24" s="5" t="s">
        <v>380</v>
      </c>
      <c r="C24" s="5" t="s">
        <v>381</v>
      </c>
      <c r="D24" s="5" t="s">
        <v>44</v>
      </c>
      <c r="E24" s="6"/>
      <c r="F24" s="6"/>
      <c r="G24" s="6"/>
      <c r="H24" s="6"/>
      <c r="I24" s="23"/>
    </row>
    <row r="25" spans="1:9" ht="30" customHeight="1" x14ac:dyDescent="0.3">
      <c r="A25" s="22" t="s">
        <v>382</v>
      </c>
      <c r="B25" s="5" t="s">
        <v>383</v>
      </c>
      <c r="C25" s="5" t="s">
        <v>384</v>
      </c>
      <c r="D25" s="5" t="s">
        <v>385</v>
      </c>
      <c r="E25" s="6"/>
      <c r="F25" s="6"/>
      <c r="G25" s="6"/>
      <c r="H25" s="6"/>
      <c r="I25" s="23"/>
    </row>
    <row r="26" spans="1:9" ht="30" customHeight="1" x14ac:dyDescent="0.3">
      <c r="A26" s="22" t="s">
        <v>37</v>
      </c>
      <c r="B26" s="5" t="s">
        <v>386</v>
      </c>
      <c r="C26" s="5" t="s">
        <v>214</v>
      </c>
      <c r="D26" s="5" t="s">
        <v>387</v>
      </c>
      <c r="E26" s="6"/>
      <c r="F26" s="6"/>
      <c r="G26" s="6"/>
      <c r="H26" s="6"/>
      <c r="I26" s="23"/>
    </row>
    <row r="27" spans="1:9" x14ac:dyDescent="0.3">
      <c r="A27" s="97" t="s">
        <v>53</v>
      </c>
      <c r="B27" s="57"/>
      <c r="C27" s="57"/>
      <c r="D27" s="58"/>
      <c r="E27" s="7" t="str">
        <f>IFERROR(AVERAGE(E20:E26),"")</f>
        <v/>
      </c>
      <c r="F27" s="7" t="str">
        <f>IFERROR(AVERAGE(F20:F26),"")</f>
        <v/>
      </c>
      <c r="G27" s="7" t="str">
        <f>IFERROR(AVERAGE(G20:G26),"")</f>
        <v/>
      </c>
      <c r="H27" s="7" t="str">
        <f>IFERROR(AVERAGE(H20:H26),"")</f>
        <v/>
      </c>
      <c r="I27" s="24" t="str">
        <f>IFERROR(AVERAGE(I20:I26),"")</f>
        <v/>
      </c>
    </row>
    <row r="28" spans="1:9" x14ac:dyDescent="0.3">
      <c r="A28" s="96" t="s">
        <v>388</v>
      </c>
      <c r="B28" s="57"/>
      <c r="C28" s="57"/>
      <c r="D28" s="57"/>
      <c r="E28" s="57"/>
      <c r="F28" s="57"/>
      <c r="G28" s="57"/>
      <c r="H28" s="57"/>
      <c r="I28" s="58"/>
    </row>
    <row r="29" spans="1:9" x14ac:dyDescent="0.3">
      <c r="A29" s="34"/>
      <c r="B29" s="3"/>
      <c r="C29" s="3"/>
      <c r="D29" s="3"/>
      <c r="E29" s="3"/>
      <c r="F29" s="3"/>
      <c r="G29" s="3"/>
      <c r="H29" s="3"/>
      <c r="I29" s="35"/>
    </row>
    <row r="30" spans="1:9" ht="15.75" customHeight="1" x14ac:dyDescent="0.3">
      <c r="A30" s="56" t="s">
        <v>389</v>
      </c>
      <c r="B30" s="57"/>
      <c r="C30" s="57"/>
      <c r="D30" s="57"/>
      <c r="E30" s="57"/>
      <c r="F30" s="57"/>
      <c r="G30" s="57"/>
      <c r="H30" s="57"/>
      <c r="I30" s="58"/>
    </row>
    <row r="31" spans="1:9" ht="24" customHeight="1" x14ac:dyDescent="0.3">
      <c r="A31" s="20" t="s">
        <v>21</v>
      </c>
      <c r="B31" s="4" t="s">
        <v>22</v>
      </c>
      <c r="C31" s="4" t="s">
        <v>23</v>
      </c>
      <c r="D31" s="4" t="s">
        <v>24</v>
      </c>
      <c r="E31" s="4" t="s">
        <v>10</v>
      </c>
      <c r="F31" s="4" t="s">
        <v>11</v>
      </c>
      <c r="G31" s="4" t="s">
        <v>12</v>
      </c>
      <c r="H31" s="4" t="s">
        <v>13</v>
      </c>
      <c r="I31" s="21" t="s">
        <v>14</v>
      </c>
    </row>
    <row r="32" spans="1:9" ht="30" customHeight="1" x14ac:dyDescent="0.3">
      <c r="A32" s="22" t="s">
        <v>56</v>
      </c>
      <c r="B32" s="5" t="s">
        <v>390</v>
      </c>
      <c r="C32" s="5" t="s">
        <v>249</v>
      </c>
      <c r="D32" s="5" t="s">
        <v>391</v>
      </c>
      <c r="E32" s="6"/>
      <c r="F32" s="6"/>
      <c r="G32" s="6"/>
      <c r="H32" s="6"/>
      <c r="I32" s="23"/>
    </row>
    <row r="33" spans="1:9" ht="30" customHeight="1" x14ac:dyDescent="0.3">
      <c r="A33" s="22" t="s">
        <v>392</v>
      </c>
      <c r="B33" s="5" t="s">
        <v>393</v>
      </c>
      <c r="C33" s="5" t="s">
        <v>394</v>
      </c>
      <c r="D33" s="5" t="s">
        <v>395</v>
      </c>
      <c r="E33" s="6"/>
      <c r="F33" s="6"/>
      <c r="G33" s="6"/>
      <c r="H33" s="6"/>
      <c r="I33" s="23"/>
    </row>
    <row r="34" spans="1:9" ht="30" customHeight="1" x14ac:dyDescent="0.3">
      <c r="A34" s="22" t="s">
        <v>396</v>
      </c>
      <c r="B34" s="5" t="s">
        <v>397</v>
      </c>
      <c r="C34" s="5" t="s">
        <v>398</v>
      </c>
      <c r="D34" s="5" t="s">
        <v>399</v>
      </c>
      <c r="E34" s="6"/>
      <c r="F34" s="6"/>
      <c r="G34" s="6"/>
      <c r="H34" s="6"/>
      <c r="I34" s="23"/>
    </row>
    <row r="35" spans="1:9" x14ac:dyDescent="0.3">
      <c r="A35" s="97" t="s">
        <v>80</v>
      </c>
      <c r="B35" s="57"/>
      <c r="C35" s="57"/>
      <c r="D35" s="58"/>
      <c r="E35" s="7" t="str">
        <f>IFERROR(AVERAGE(E32:E34),"")</f>
        <v/>
      </c>
      <c r="F35" s="7" t="str">
        <f>IFERROR(AVERAGE(F32:F34),"")</f>
        <v/>
      </c>
      <c r="G35" s="7" t="str">
        <f>IFERROR(AVERAGE(G32:G34),"")</f>
        <v/>
      </c>
      <c r="H35" s="7" t="str">
        <f>IFERROR(AVERAGE(H32:H34),"")</f>
        <v/>
      </c>
      <c r="I35" s="24" t="str">
        <f>IFERROR(AVERAGE(I32:I34),"")</f>
        <v/>
      </c>
    </row>
    <row r="36" spans="1:9" x14ac:dyDescent="0.3">
      <c r="A36" s="34"/>
      <c r="B36" s="3"/>
      <c r="C36" s="3"/>
      <c r="D36" s="3"/>
      <c r="E36" s="3"/>
      <c r="F36" s="3"/>
      <c r="G36" s="3"/>
      <c r="H36" s="3"/>
      <c r="I36" s="35"/>
    </row>
    <row r="37" spans="1:9" ht="15.75" customHeight="1" x14ac:dyDescent="0.3">
      <c r="A37" s="56" t="s">
        <v>82</v>
      </c>
      <c r="B37" s="57"/>
      <c r="C37" s="57"/>
      <c r="D37" s="57"/>
      <c r="E37" s="57"/>
      <c r="F37" s="57"/>
      <c r="G37" s="57"/>
      <c r="H37" s="57"/>
      <c r="I37" s="58"/>
    </row>
    <row r="38" spans="1:9" ht="24" customHeight="1" x14ac:dyDescent="0.3">
      <c r="A38" s="20" t="s">
        <v>21</v>
      </c>
      <c r="B38" s="4" t="s">
        <v>22</v>
      </c>
      <c r="C38" s="4" t="s">
        <v>23</v>
      </c>
      <c r="D38" s="4" t="s">
        <v>24</v>
      </c>
      <c r="E38" s="4" t="s">
        <v>10</v>
      </c>
      <c r="F38" s="4" t="s">
        <v>11</v>
      </c>
      <c r="G38" s="4" t="s">
        <v>12</v>
      </c>
      <c r="H38" s="4" t="s">
        <v>13</v>
      </c>
      <c r="I38" s="21" t="s">
        <v>14</v>
      </c>
    </row>
    <row r="39" spans="1:9" ht="30" customHeight="1" x14ac:dyDescent="0.3">
      <c r="A39" s="22" t="s">
        <v>400</v>
      </c>
      <c r="B39" s="5" t="s">
        <v>279</v>
      </c>
      <c r="C39" s="5" t="s">
        <v>280</v>
      </c>
      <c r="D39" s="5" t="s">
        <v>401</v>
      </c>
      <c r="E39" s="6"/>
      <c r="F39" s="6"/>
      <c r="G39" s="6"/>
      <c r="H39" s="6"/>
      <c r="I39" s="23"/>
    </row>
    <row r="40" spans="1:9" ht="30" customHeight="1" x14ac:dyDescent="0.3">
      <c r="A40" s="22" t="s">
        <v>402</v>
      </c>
      <c r="B40" s="5" t="s">
        <v>403</v>
      </c>
      <c r="C40" s="5" t="s">
        <v>78</v>
      </c>
      <c r="D40" s="5" t="s">
        <v>404</v>
      </c>
      <c r="E40" s="6"/>
      <c r="F40" s="6"/>
      <c r="G40" s="6"/>
      <c r="H40" s="6"/>
      <c r="I40" s="23"/>
    </row>
    <row r="41" spans="1:9" ht="30" customHeight="1" x14ac:dyDescent="0.3">
      <c r="A41" s="22" t="s">
        <v>405</v>
      </c>
      <c r="B41" s="5" t="s">
        <v>406</v>
      </c>
      <c r="C41" s="5" t="s">
        <v>407</v>
      </c>
      <c r="D41" s="5" t="s">
        <v>107</v>
      </c>
      <c r="E41" s="6"/>
      <c r="F41" s="6"/>
      <c r="G41" s="6"/>
      <c r="H41" s="6"/>
      <c r="I41" s="23"/>
    </row>
    <row r="42" spans="1:9" ht="30" customHeight="1" x14ac:dyDescent="0.3">
      <c r="A42" s="22" t="s">
        <v>292</v>
      </c>
      <c r="B42" s="5" t="s">
        <v>293</v>
      </c>
      <c r="C42" s="5" t="s">
        <v>78</v>
      </c>
      <c r="D42" s="5" t="s">
        <v>294</v>
      </c>
      <c r="E42" s="6"/>
      <c r="F42" s="6"/>
      <c r="G42" s="6"/>
      <c r="H42" s="6"/>
      <c r="I42" s="23"/>
    </row>
    <row r="43" spans="1:9" ht="30" customHeight="1" x14ac:dyDescent="0.3">
      <c r="A43" s="22" t="s">
        <v>408</v>
      </c>
      <c r="B43" s="5" t="s">
        <v>409</v>
      </c>
      <c r="C43" s="5" t="s">
        <v>78</v>
      </c>
      <c r="D43" s="5" t="s">
        <v>410</v>
      </c>
      <c r="E43" s="6"/>
      <c r="F43" s="6"/>
      <c r="G43" s="6"/>
      <c r="H43" s="6"/>
      <c r="I43" s="23"/>
    </row>
    <row r="44" spans="1:9" x14ac:dyDescent="0.3">
      <c r="A44" s="97" t="s">
        <v>108</v>
      </c>
      <c r="B44" s="57"/>
      <c r="C44" s="57"/>
      <c r="D44" s="58"/>
      <c r="E44" s="7" t="str">
        <f>IFERROR(AVERAGE(E39:E43),"")</f>
        <v/>
      </c>
      <c r="F44" s="7" t="str">
        <f>IFERROR(AVERAGE(F39:F43),"")</f>
        <v/>
      </c>
      <c r="G44" s="7" t="str">
        <f>IFERROR(AVERAGE(G39:G43),"")</f>
        <v/>
      </c>
      <c r="H44" s="7" t="str">
        <f>IFERROR(AVERAGE(H39:H43),"")</f>
        <v/>
      </c>
      <c r="I44" s="24" t="str">
        <f>IFERROR(AVERAGE(I39:I43),"")</f>
        <v/>
      </c>
    </row>
    <row r="45" spans="1:9" x14ac:dyDescent="0.3">
      <c r="A45" s="96" t="s">
        <v>411</v>
      </c>
      <c r="B45" s="57"/>
      <c r="C45" s="57"/>
      <c r="D45" s="57"/>
      <c r="E45" s="57"/>
      <c r="F45" s="57"/>
      <c r="G45" s="57"/>
      <c r="H45" s="57"/>
      <c r="I45" s="58"/>
    </row>
    <row r="46" spans="1:9" x14ac:dyDescent="0.3">
      <c r="A46" s="34"/>
      <c r="B46" s="3"/>
      <c r="C46" s="3"/>
      <c r="D46" s="3"/>
      <c r="E46" s="3"/>
      <c r="F46" s="3"/>
      <c r="G46" s="3"/>
      <c r="H46" s="3"/>
      <c r="I46" s="35"/>
    </row>
    <row r="47" spans="1:9" ht="15.75" customHeight="1" x14ac:dyDescent="0.3">
      <c r="A47" s="56" t="s">
        <v>109</v>
      </c>
      <c r="B47" s="57"/>
      <c r="C47" s="57"/>
      <c r="D47" s="57"/>
      <c r="E47" s="57"/>
      <c r="F47" s="57"/>
      <c r="G47" s="57"/>
      <c r="H47" s="57"/>
      <c r="I47" s="58"/>
    </row>
    <row r="48" spans="1:9" ht="24" customHeight="1" x14ac:dyDescent="0.3">
      <c r="A48" s="20" t="s">
        <v>21</v>
      </c>
      <c r="B48" s="4" t="s">
        <v>22</v>
      </c>
      <c r="C48" s="4" t="s">
        <v>23</v>
      </c>
      <c r="D48" s="4" t="s">
        <v>24</v>
      </c>
      <c r="E48" s="4" t="s">
        <v>10</v>
      </c>
      <c r="F48" s="4" t="s">
        <v>11</v>
      </c>
      <c r="G48" s="4" t="s">
        <v>12</v>
      </c>
      <c r="H48" s="4" t="s">
        <v>13</v>
      </c>
      <c r="I48" s="21" t="s">
        <v>14</v>
      </c>
    </row>
    <row r="49" spans="1:9" ht="30" customHeight="1" x14ac:dyDescent="0.3">
      <c r="A49" s="22" t="s">
        <v>412</v>
      </c>
      <c r="B49" s="5" t="s">
        <v>413</v>
      </c>
      <c r="C49" s="5" t="s">
        <v>414</v>
      </c>
      <c r="D49" s="5" t="s">
        <v>415</v>
      </c>
      <c r="E49" s="6"/>
      <c r="F49" s="6"/>
      <c r="G49" s="6"/>
      <c r="H49" s="6"/>
      <c r="I49" s="23"/>
    </row>
    <row r="50" spans="1:9" ht="30" customHeight="1" x14ac:dyDescent="0.3">
      <c r="A50" s="22" t="s">
        <v>300</v>
      </c>
      <c r="B50" s="5" t="s">
        <v>416</v>
      </c>
      <c r="C50" s="5" t="s">
        <v>417</v>
      </c>
      <c r="D50" s="5" t="s">
        <v>418</v>
      </c>
      <c r="E50" s="6"/>
      <c r="F50" s="6"/>
      <c r="G50" s="6"/>
      <c r="H50" s="6"/>
      <c r="I50" s="23"/>
    </row>
    <row r="51" spans="1:9" ht="30" customHeight="1" x14ac:dyDescent="0.3">
      <c r="A51" s="22" t="s">
        <v>118</v>
      </c>
      <c r="B51" s="5" t="s">
        <v>419</v>
      </c>
      <c r="C51" s="5" t="s">
        <v>78</v>
      </c>
      <c r="D51" s="5" t="s">
        <v>420</v>
      </c>
      <c r="E51" s="6"/>
      <c r="F51" s="6"/>
      <c r="G51" s="6"/>
      <c r="H51" s="6"/>
      <c r="I51" s="23"/>
    </row>
    <row r="52" spans="1:9" ht="30" customHeight="1" x14ac:dyDescent="0.3">
      <c r="A52" s="22" t="s">
        <v>297</v>
      </c>
      <c r="B52" s="5" t="s">
        <v>115</v>
      </c>
      <c r="C52" s="5" t="s">
        <v>78</v>
      </c>
      <c r="D52" s="5" t="s">
        <v>399</v>
      </c>
      <c r="E52" s="6"/>
      <c r="F52" s="6"/>
      <c r="G52" s="6"/>
      <c r="H52" s="6"/>
      <c r="I52" s="23"/>
    </row>
    <row r="53" spans="1:9" ht="30" customHeight="1" x14ac:dyDescent="0.3">
      <c r="A53" s="22" t="s">
        <v>421</v>
      </c>
      <c r="B53" s="5" t="s">
        <v>422</v>
      </c>
      <c r="C53" s="5" t="s">
        <v>78</v>
      </c>
      <c r="D53" s="5" t="s">
        <v>423</v>
      </c>
      <c r="E53" s="6"/>
      <c r="F53" s="6"/>
      <c r="G53" s="6"/>
      <c r="H53" s="6"/>
      <c r="I53" s="23"/>
    </row>
    <row r="54" spans="1:9" ht="30" customHeight="1" x14ac:dyDescent="0.3">
      <c r="A54" s="22" t="s">
        <v>315</v>
      </c>
      <c r="B54" s="5" t="s">
        <v>424</v>
      </c>
      <c r="C54" s="5" t="s">
        <v>78</v>
      </c>
      <c r="D54" s="5" t="s">
        <v>425</v>
      </c>
      <c r="E54" s="6"/>
      <c r="F54" s="6"/>
      <c r="G54" s="6"/>
      <c r="H54" s="6"/>
      <c r="I54" s="23"/>
    </row>
    <row r="55" spans="1:9" x14ac:dyDescent="0.3">
      <c r="A55" s="97" t="s">
        <v>137</v>
      </c>
      <c r="B55" s="57"/>
      <c r="C55" s="57"/>
      <c r="D55" s="58"/>
      <c r="E55" s="7" t="str">
        <f>IFERROR(AVERAGE(E49:E54),"")</f>
        <v/>
      </c>
      <c r="F55" s="7" t="str">
        <f>IFERROR(AVERAGE(F49:F54),"")</f>
        <v/>
      </c>
      <c r="G55" s="7" t="str">
        <f>IFERROR(AVERAGE(G49:G54),"")</f>
        <v/>
      </c>
      <c r="H55" s="7" t="str">
        <f>IFERROR(AVERAGE(H49:H54),"")</f>
        <v/>
      </c>
      <c r="I55" s="24" t="str">
        <f>IFERROR(AVERAGE(I49:I54),"")</f>
        <v/>
      </c>
    </row>
    <row r="56" spans="1:9" x14ac:dyDescent="0.3">
      <c r="A56" s="34"/>
      <c r="B56" s="3"/>
      <c r="C56" s="3"/>
      <c r="D56" s="3"/>
      <c r="E56" s="3"/>
      <c r="F56" s="3"/>
      <c r="G56" s="3"/>
      <c r="H56" s="3"/>
      <c r="I56" s="35"/>
    </row>
    <row r="57" spans="1:9" ht="15.75" customHeight="1" x14ac:dyDescent="0.3">
      <c r="A57" s="56" t="s">
        <v>139</v>
      </c>
      <c r="B57" s="57"/>
      <c r="C57" s="57"/>
      <c r="D57" s="57"/>
      <c r="E57" s="57"/>
      <c r="F57" s="57"/>
      <c r="G57" s="57"/>
      <c r="H57" s="57"/>
      <c r="I57" s="58"/>
    </row>
    <row r="58" spans="1:9" ht="24" customHeight="1" x14ac:dyDescent="0.3">
      <c r="A58" s="20" t="s">
        <v>21</v>
      </c>
      <c r="B58" s="4" t="s">
        <v>22</v>
      </c>
      <c r="C58" s="4" t="s">
        <v>23</v>
      </c>
      <c r="D58" s="4" t="s">
        <v>24</v>
      </c>
      <c r="E58" s="4" t="s">
        <v>10</v>
      </c>
      <c r="F58" s="4" t="s">
        <v>11</v>
      </c>
      <c r="G58" s="4" t="s">
        <v>12</v>
      </c>
      <c r="H58" s="4" t="s">
        <v>13</v>
      </c>
      <c r="I58" s="21" t="s">
        <v>14</v>
      </c>
    </row>
    <row r="59" spans="1:9" ht="30" customHeight="1" x14ac:dyDescent="0.3">
      <c r="A59" s="22" t="s">
        <v>140</v>
      </c>
      <c r="B59" s="5" t="s">
        <v>141</v>
      </c>
      <c r="C59" s="5" t="s">
        <v>142</v>
      </c>
      <c r="D59" s="5" t="s">
        <v>143</v>
      </c>
      <c r="E59" s="6"/>
      <c r="F59" s="6"/>
      <c r="G59" s="6"/>
      <c r="H59" s="6"/>
      <c r="I59" s="23"/>
    </row>
    <row r="60" spans="1:9" ht="30" customHeight="1" x14ac:dyDescent="0.3">
      <c r="A60" s="22" t="s">
        <v>162</v>
      </c>
      <c r="B60" s="5" t="s">
        <v>426</v>
      </c>
      <c r="C60" s="5" t="s">
        <v>78</v>
      </c>
      <c r="D60" s="5" t="s">
        <v>427</v>
      </c>
      <c r="E60" s="6"/>
      <c r="F60" s="6"/>
      <c r="G60" s="6"/>
      <c r="H60" s="6"/>
      <c r="I60" s="23"/>
    </row>
    <row r="61" spans="1:9" ht="30" customHeight="1" x14ac:dyDescent="0.3">
      <c r="A61" s="22" t="s">
        <v>428</v>
      </c>
      <c r="B61" s="5" t="s">
        <v>325</v>
      </c>
      <c r="C61" s="5" t="s">
        <v>280</v>
      </c>
      <c r="D61" s="5" t="s">
        <v>326</v>
      </c>
      <c r="E61" s="6"/>
      <c r="F61" s="6"/>
      <c r="G61" s="6"/>
      <c r="H61" s="6"/>
      <c r="I61" s="23"/>
    </row>
    <row r="62" spans="1:9" ht="30" customHeight="1" x14ac:dyDescent="0.3">
      <c r="A62" s="22" t="s">
        <v>429</v>
      </c>
      <c r="B62" s="5" t="s">
        <v>430</v>
      </c>
      <c r="C62" s="5" t="s">
        <v>407</v>
      </c>
      <c r="D62" s="5" t="s">
        <v>431</v>
      </c>
      <c r="E62" s="6"/>
      <c r="F62" s="6"/>
      <c r="G62" s="6"/>
      <c r="H62" s="6"/>
      <c r="I62" s="23"/>
    </row>
    <row r="63" spans="1:9" ht="30" customHeight="1" x14ac:dyDescent="0.3">
      <c r="A63" s="22" t="s">
        <v>336</v>
      </c>
      <c r="B63" s="5" t="s">
        <v>155</v>
      </c>
      <c r="C63" s="5" t="s">
        <v>156</v>
      </c>
      <c r="D63" s="5" t="s">
        <v>157</v>
      </c>
      <c r="E63" s="6"/>
      <c r="F63" s="6"/>
      <c r="G63" s="6"/>
      <c r="H63" s="6"/>
      <c r="I63" s="23"/>
    </row>
    <row r="64" spans="1:9" ht="30" customHeight="1" x14ac:dyDescent="0.3">
      <c r="A64" s="22" t="s">
        <v>327</v>
      </c>
      <c r="B64" s="5" t="s">
        <v>432</v>
      </c>
      <c r="C64" s="5" t="s">
        <v>78</v>
      </c>
      <c r="D64" s="5" t="s">
        <v>433</v>
      </c>
      <c r="E64" s="6"/>
      <c r="F64" s="6"/>
      <c r="G64" s="6"/>
      <c r="H64" s="6"/>
      <c r="I64" s="23"/>
    </row>
    <row r="65" spans="1:9" x14ac:dyDescent="0.3">
      <c r="A65" s="97" t="s">
        <v>166</v>
      </c>
      <c r="B65" s="57"/>
      <c r="C65" s="57"/>
      <c r="D65" s="58"/>
      <c r="E65" s="7" t="str">
        <f>IFERROR(AVERAGE(E59:E64),"")</f>
        <v/>
      </c>
      <c r="F65" s="7" t="str">
        <f>IFERROR(AVERAGE(F59:F64),"")</f>
        <v/>
      </c>
      <c r="G65" s="7" t="str">
        <f>IFERROR(AVERAGE(G59:G64),"")</f>
        <v/>
      </c>
      <c r="H65" s="7" t="str">
        <f>IFERROR(AVERAGE(H59:H64),"")</f>
        <v/>
      </c>
      <c r="I65" s="24" t="str">
        <f>IFERROR(AVERAGE(I59:I64),"")</f>
        <v/>
      </c>
    </row>
    <row r="66" spans="1:9" x14ac:dyDescent="0.3">
      <c r="A66" s="96" t="s">
        <v>434</v>
      </c>
      <c r="B66" s="57"/>
      <c r="C66" s="57"/>
      <c r="D66" s="57"/>
      <c r="E66" s="57"/>
      <c r="F66" s="57"/>
      <c r="G66" s="57"/>
      <c r="H66" s="57"/>
      <c r="I66" s="58"/>
    </row>
    <row r="67" spans="1:9" x14ac:dyDescent="0.3">
      <c r="A67" s="34"/>
      <c r="B67" s="3"/>
      <c r="C67" s="3"/>
      <c r="D67" s="3"/>
      <c r="E67" s="3"/>
      <c r="F67" s="3"/>
      <c r="G67" s="3"/>
      <c r="H67" s="3"/>
      <c r="I67" s="35"/>
    </row>
    <row r="68" spans="1:9" ht="15.75" customHeight="1" x14ac:dyDescent="0.3">
      <c r="A68" s="56" t="s">
        <v>167</v>
      </c>
      <c r="B68" s="57"/>
      <c r="C68" s="57"/>
      <c r="D68" s="57"/>
      <c r="E68" s="57"/>
      <c r="F68" s="57"/>
      <c r="G68" s="57"/>
      <c r="H68" s="57"/>
      <c r="I68" s="58"/>
    </row>
    <row r="69" spans="1:9" ht="24" customHeight="1" x14ac:dyDescent="0.3">
      <c r="A69" s="20" t="s">
        <v>21</v>
      </c>
      <c r="B69" s="4" t="s">
        <v>22</v>
      </c>
      <c r="C69" s="4" t="s">
        <v>23</v>
      </c>
      <c r="D69" s="4" t="s">
        <v>24</v>
      </c>
      <c r="E69" s="4" t="s">
        <v>10</v>
      </c>
      <c r="F69" s="4" t="s">
        <v>11</v>
      </c>
      <c r="G69" s="4" t="s">
        <v>12</v>
      </c>
      <c r="H69" s="4" t="s">
        <v>13</v>
      </c>
      <c r="I69" s="21" t="s">
        <v>14</v>
      </c>
    </row>
    <row r="70" spans="1:9" ht="30" customHeight="1" x14ac:dyDescent="0.3">
      <c r="A70" s="22" t="s">
        <v>346</v>
      </c>
      <c r="B70" s="5" t="s">
        <v>347</v>
      </c>
      <c r="C70" s="5" t="s">
        <v>348</v>
      </c>
      <c r="D70" s="5" t="s">
        <v>349</v>
      </c>
      <c r="E70" s="6"/>
      <c r="F70" s="6"/>
      <c r="G70" s="6"/>
      <c r="H70" s="6"/>
      <c r="I70" s="23"/>
    </row>
    <row r="71" spans="1:9" ht="30" customHeight="1" x14ac:dyDescent="0.3">
      <c r="A71" s="22" t="s">
        <v>180</v>
      </c>
      <c r="B71" s="5" t="s">
        <v>181</v>
      </c>
      <c r="C71" s="5" t="s">
        <v>182</v>
      </c>
      <c r="D71" s="5" t="s">
        <v>354</v>
      </c>
      <c r="E71" s="6"/>
      <c r="F71" s="6"/>
      <c r="G71" s="6"/>
      <c r="H71" s="6"/>
      <c r="I71" s="23"/>
    </row>
    <row r="72" spans="1:9" ht="30" customHeight="1" x14ac:dyDescent="0.3">
      <c r="A72" s="22" t="s">
        <v>176</v>
      </c>
      <c r="B72" s="5" t="s">
        <v>435</v>
      </c>
      <c r="C72" s="5" t="s">
        <v>172</v>
      </c>
      <c r="D72" s="5" t="s">
        <v>436</v>
      </c>
      <c r="E72" s="6"/>
      <c r="F72" s="6"/>
      <c r="G72" s="6"/>
      <c r="H72" s="6"/>
      <c r="I72" s="23"/>
    </row>
    <row r="73" spans="1:9" ht="30" customHeight="1" x14ac:dyDescent="0.3">
      <c r="A73" s="22" t="s">
        <v>437</v>
      </c>
      <c r="B73" s="5" t="s">
        <v>99</v>
      </c>
      <c r="C73" s="5" t="s">
        <v>438</v>
      </c>
      <c r="D73" s="5" t="s">
        <v>173</v>
      </c>
      <c r="E73" s="6"/>
      <c r="F73" s="6"/>
      <c r="G73" s="6"/>
      <c r="H73" s="6"/>
      <c r="I73" s="23"/>
    </row>
    <row r="74" spans="1:9" x14ac:dyDescent="0.3">
      <c r="A74" s="97" t="s">
        <v>184</v>
      </c>
      <c r="B74" s="57"/>
      <c r="C74" s="57"/>
      <c r="D74" s="58"/>
      <c r="E74" s="7" t="str">
        <f>IFERROR(AVERAGE(E70:E73),"")</f>
        <v/>
      </c>
      <c r="F74" s="7" t="str">
        <f>IFERROR(AVERAGE(F70:F73),"")</f>
        <v/>
      </c>
      <c r="G74" s="7" t="str">
        <f>IFERROR(AVERAGE(G70:G73),"")</f>
        <v/>
      </c>
      <c r="H74" s="7" t="str">
        <f>IFERROR(AVERAGE(H70:H73),"")</f>
        <v/>
      </c>
      <c r="I74" s="24" t="str">
        <f>IFERROR(AVERAGE(I70:I73),"")</f>
        <v/>
      </c>
    </row>
    <row r="75" spans="1:9" x14ac:dyDescent="0.3">
      <c r="A75" s="96" t="s">
        <v>439</v>
      </c>
      <c r="B75" s="57"/>
      <c r="C75" s="57"/>
      <c r="D75" s="57"/>
      <c r="E75" s="57"/>
      <c r="F75" s="57"/>
      <c r="G75" s="57"/>
      <c r="H75" s="57"/>
      <c r="I75" s="58"/>
    </row>
    <row r="76" spans="1:9" x14ac:dyDescent="0.3">
      <c r="A76" s="34"/>
      <c r="B76" s="3"/>
      <c r="C76" s="3"/>
      <c r="D76" s="3"/>
      <c r="E76" s="3"/>
      <c r="F76" s="3"/>
      <c r="G76" s="3"/>
      <c r="H76" s="3"/>
      <c r="I76" s="35"/>
    </row>
    <row r="77" spans="1:9" ht="15.75" customHeight="1" x14ac:dyDescent="0.3">
      <c r="A77" s="56" t="s">
        <v>185</v>
      </c>
      <c r="B77" s="57"/>
      <c r="C77" s="57"/>
      <c r="D77" s="57"/>
      <c r="E77" s="57"/>
      <c r="F77" s="57"/>
      <c r="G77" s="57"/>
      <c r="H77" s="57"/>
      <c r="I77" s="58"/>
    </row>
    <row r="78" spans="1:9" ht="24" customHeight="1" x14ac:dyDescent="0.3">
      <c r="A78" s="20" t="s">
        <v>21</v>
      </c>
      <c r="B78" s="4" t="s">
        <v>22</v>
      </c>
      <c r="C78" s="4" t="s">
        <v>23</v>
      </c>
      <c r="D78" s="4" t="s">
        <v>24</v>
      </c>
      <c r="E78" s="4" t="s">
        <v>10</v>
      </c>
      <c r="F78" s="4" t="s">
        <v>11</v>
      </c>
      <c r="G78" s="4" t="s">
        <v>12</v>
      </c>
      <c r="H78" s="4" t="s">
        <v>13</v>
      </c>
      <c r="I78" s="21" t="s">
        <v>14</v>
      </c>
    </row>
    <row r="79" spans="1:9" ht="19.5" customHeight="1" x14ac:dyDescent="0.3">
      <c r="A79" s="25" t="s">
        <v>186</v>
      </c>
      <c r="B79" s="8" t="s">
        <v>187</v>
      </c>
      <c r="C79" s="8" t="s">
        <v>188</v>
      </c>
      <c r="D79" s="8" t="s">
        <v>189</v>
      </c>
      <c r="E79" s="9"/>
      <c r="F79" s="9"/>
      <c r="G79" s="9"/>
      <c r="H79" s="9"/>
      <c r="I79" s="26"/>
    </row>
    <row r="80" spans="1:9" x14ac:dyDescent="0.3">
      <c r="A80" s="34"/>
      <c r="B80" s="3"/>
      <c r="C80" s="3"/>
      <c r="D80" s="3"/>
      <c r="E80" s="3"/>
      <c r="F80" s="3"/>
      <c r="G80" s="3"/>
      <c r="H80" s="3"/>
      <c r="I80" s="35"/>
    </row>
    <row r="81" spans="1:9" ht="15.75" customHeight="1" x14ac:dyDescent="0.3">
      <c r="A81" s="68" t="s">
        <v>190</v>
      </c>
      <c r="B81" s="57"/>
      <c r="C81" s="57"/>
      <c r="D81" s="57"/>
      <c r="E81" s="57"/>
      <c r="F81" s="57"/>
      <c r="G81" s="57"/>
      <c r="H81" s="57"/>
      <c r="I81" s="58"/>
    </row>
    <row r="82" spans="1:9" x14ac:dyDescent="0.3">
      <c r="A82" s="98" t="s">
        <v>191</v>
      </c>
      <c r="B82" s="57"/>
      <c r="C82" s="57"/>
      <c r="D82" s="58"/>
      <c r="E82" s="10" t="s">
        <v>10</v>
      </c>
      <c r="F82" s="10" t="s">
        <v>11</v>
      </c>
      <c r="G82" s="10" t="s">
        <v>12</v>
      </c>
      <c r="H82" s="10" t="s">
        <v>13</v>
      </c>
      <c r="I82" s="27" t="s">
        <v>14</v>
      </c>
    </row>
    <row r="83" spans="1:9" x14ac:dyDescent="0.3">
      <c r="A83" s="97" t="s">
        <v>192</v>
      </c>
      <c r="B83" s="57"/>
      <c r="C83" s="57"/>
      <c r="D83" s="58"/>
      <c r="E83" s="11" t="str">
        <f>IFERROR(AVERAGE(E20:E26,E32:E34,E39:E43,E49:E54,E59:E64,E70:E73),"")</f>
        <v/>
      </c>
      <c r="F83" s="11" t="str">
        <f>IFERROR(AVERAGE(F20:F26,F32:F34,F39:F43,F49:F54,F59:F64,F70:F73),"")</f>
        <v/>
      </c>
      <c r="G83" s="11" t="str">
        <f>IFERROR(AVERAGE(G20:G26,G32:G34,G39:G43,G49:G54,G59:G64,G70:G73),"")</f>
        <v/>
      </c>
      <c r="H83" s="11" t="str">
        <f>IFERROR(AVERAGE(H20:H26,H32:H34,H39:H43,H49:H54,H59:H64,H70:H73),"")</f>
        <v/>
      </c>
      <c r="I83" s="28" t="str">
        <f>IFERROR(AVERAGE(I20:I26,I32:I34,I39:I43,I49:I54,I59:I64,I70:I73),"")</f>
        <v/>
      </c>
    </row>
    <row r="84" spans="1:9" x14ac:dyDescent="0.3">
      <c r="A84" s="97" t="s">
        <v>193</v>
      </c>
      <c r="B84" s="57"/>
      <c r="C84" s="57"/>
      <c r="D84" s="58"/>
      <c r="E84" s="11">
        <f>IFERROR(E79,"")</f>
        <v>0</v>
      </c>
      <c r="F84" s="11">
        <f>IFERROR(F79,"")</f>
        <v>0</v>
      </c>
      <c r="G84" s="11">
        <f>IFERROR(G79,"")</f>
        <v>0</v>
      </c>
      <c r="H84" s="11">
        <f>IFERROR(H79,"")</f>
        <v>0</v>
      </c>
      <c r="I84" s="28">
        <f>IFERROR(I79,"")</f>
        <v>0</v>
      </c>
    </row>
    <row r="85" spans="1:9" x14ac:dyDescent="0.3">
      <c r="A85" s="97" t="s">
        <v>194</v>
      </c>
      <c r="B85" s="57"/>
      <c r="C85" s="57"/>
      <c r="D85" s="58"/>
      <c r="E85" s="7">
        <f>IFERROR(AVERAGE(E83,E84),"")</f>
        <v>0</v>
      </c>
      <c r="F85" s="7">
        <f>IFERROR(AVERAGE(F83,F84),"")</f>
        <v>0</v>
      </c>
      <c r="G85" s="7">
        <f>IFERROR(AVERAGE(G83,G84),"")</f>
        <v>0</v>
      </c>
      <c r="H85" s="7">
        <f>IFERROR(AVERAGE(H83,H84),"")</f>
        <v>0</v>
      </c>
      <c r="I85" s="24">
        <f>IFERROR(AVERAGE(I83,I84),"")</f>
        <v>0</v>
      </c>
    </row>
    <row r="86" spans="1:9" x14ac:dyDescent="0.3">
      <c r="A86" s="96" t="s">
        <v>195</v>
      </c>
      <c r="B86" s="57"/>
      <c r="C86" s="57"/>
      <c r="D86" s="58"/>
      <c r="E86" s="12">
        <f>IFERROR(ABS(E85-3),"")</f>
        <v>3</v>
      </c>
      <c r="F86" s="12">
        <f>IFERROR(ABS(F85-3),"")</f>
        <v>3</v>
      </c>
      <c r="G86" s="12">
        <f>IFERROR(ABS(G85-3),"")</f>
        <v>3</v>
      </c>
      <c r="H86" s="12">
        <f>IFERROR(ABS(H85-3),"")</f>
        <v>3</v>
      </c>
      <c r="I86" s="29">
        <f>IFERROR(ABS(I85-3),"")</f>
        <v>3</v>
      </c>
    </row>
    <row r="87" spans="1:9" x14ac:dyDescent="0.3">
      <c r="A87" s="97" t="s">
        <v>196</v>
      </c>
      <c r="B87" s="57"/>
      <c r="C87" s="57"/>
      <c r="D87" s="58"/>
      <c r="E87" s="10">
        <f>IFERROR(RANK(E86,$E$86:$I$86,1),"")</f>
        <v>1</v>
      </c>
      <c r="F87" s="10">
        <f>IFERROR(RANK(F86,$E$86:$I$86,1),"")</f>
        <v>1</v>
      </c>
      <c r="G87" s="10">
        <f>IFERROR(RANK(G86,$E$86:$I$86,1),"")</f>
        <v>1</v>
      </c>
      <c r="H87" s="10">
        <f>IFERROR(RANK(H86,$E$86:$I$86,1),"")</f>
        <v>1</v>
      </c>
      <c r="I87" s="27">
        <f>IFERROR(RANK(I86,$E$86:$I$86,1),"")</f>
        <v>1</v>
      </c>
    </row>
    <row r="88" spans="1:9" x14ac:dyDescent="0.3">
      <c r="A88" s="34"/>
      <c r="B88" s="3"/>
      <c r="C88" s="3"/>
      <c r="D88" s="3"/>
      <c r="E88" s="3"/>
      <c r="F88" s="3"/>
      <c r="G88" s="3"/>
      <c r="H88" s="3"/>
      <c r="I88" s="35"/>
    </row>
    <row r="89" spans="1:9" x14ac:dyDescent="0.3">
      <c r="A89" s="69" t="s">
        <v>197</v>
      </c>
      <c r="B89" s="57"/>
      <c r="C89" s="57"/>
      <c r="D89" s="57"/>
      <c r="E89" s="57"/>
      <c r="F89" s="57"/>
      <c r="G89" s="57"/>
      <c r="H89" s="57"/>
      <c r="I89" s="58"/>
    </row>
    <row r="90" spans="1:9" ht="18" customHeight="1" x14ac:dyDescent="0.3">
      <c r="A90" s="36" t="s">
        <v>198</v>
      </c>
      <c r="B90" s="62"/>
      <c r="C90" s="57"/>
      <c r="D90" s="57"/>
      <c r="E90" s="57"/>
      <c r="F90" s="57"/>
      <c r="G90" s="57"/>
      <c r="H90" s="57"/>
      <c r="I90" s="58"/>
    </row>
    <row r="91" spans="1:9" ht="18" customHeight="1" x14ac:dyDescent="0.3">
      <c r="A91" s="36" t="s">
        <v>199</v>
      </c>
      <c r="B91" s="62"/>
      <c r="C91" s="57"/>
      <c r="D91" s="57"/>
      <c r="E91" s="57"/>
      <c r="F91" s="57"/>
      <c r="G91" s="57"/>
      <c r="H91" s="57"/>
      <c r="I91" s="58"/>
    </row>
    <row r="92" spans="1:9" ht="18" customHeight="1" x14ac:dyDescent="0.3">
      <c r="A92" s="36" t="s">
        <v>200</v>
      </c>
      <c r="B92" s="62"/>
      <c r="C92" s="57"/>
      <c r="D92" s="57"/>
      <c r="E92" s="57"/>
      <c r="F92" s="57"/>
      <c r="G92" s="57"/>
      <c r="H92" s="57"/>
      <c r="I92" s="58"/>
    </row>
    <row r="93" spans="1:9" ht="18" customHeight="1" x14ac:dyDescent="0.3">
      <c r="A93" s="36" t="s">
        <v>201</v>
      </c>
      <c r="B93" s="62"/>
      <c r="C93" s="57"/>
      <c r="D93" s="57"/>
      <c r="E93" s="57"/>
      <c r="F93" s="57"/>
      <c r="G93" s="57"/>
      <c r="H93" s="57"/>
      <c r="I93" s="58"/>
    </row>
    <row r="94" spans="1:9" ht="18" customHeight="1" x14ac:dyDescent="0.3">
      <c r="A94" s="36" t="s">
        <v>202</v>
      </c>
      <c r="B94" s="62"/>
      <c r="C94" s="57"/>
      <c r="D94" s="57"/>
      <c r="E94" s="57"/>
      <c r="F94" s="57"/>
      <c r="G94" s="57"/>
      <c r="H94" s="57"/>
      <c r="I94" s="58"/>
    </row>
    <row r="95" spans="1:9" x14ac:dyDescent="0.3">
      <c r="A95" s="34"/>
      <c r="B95" s="3"/>
      <c r="C95" s="3"/>
      <c r="D95" s="3"/>
      <c r="E95" s="3"/>
      <c r="F95" s="3"/>
      <c r="G95" s="3"/>
      <c r="H95" s="3"/>
      <c r="I95" s="35"/>
    </row>
    <row r="96" spans="1:9" x14ac:dyDescent="0.3">
      <c r="A96" s="18" t="s">
        <v>203</v>
      </c>
      <c r="B96" s="62"/>
      <c r="C96" s="58"/>
      <c r="D96" s="1" t="s">
        <v>204</v>
      </c>
      <c r="E96" s="62"/>
      <c r="F96" s="57"/>
      <c r="G96" s="57"/>
      <c r="H96" s="58"/>
      <c r="I96" s="37" t="s">
        <v>4</v>
      </c>
    </row>
    <row r="97" spans="1:9" ht="15" customHeight="1" thickBot="1" x14ac:dyDescent="0.35">
      <c r="A97" s="38"/>
      <c r="B97" s="39"/>
      <c r="C97" s="39"/>
      <c r="D97" s="39"/>
      <c r="E97" s="39"/>
      <c r="F97" s="39"/>
      <c r="G97" s="39"/>
      <c r="H97" s="39"/>
      <c r="I97" s="40"/>
    </row>
  </sheetData>
  <mergeCells count="48">
    <mergeCell ref="A30:I30"/>
    <mergeCell ref="B6:C6"/>
    <mergeCell ref="B92:I92"/>
    <mergeCell ref="A27:D27"/>
    <mergeCell ref="E7:I7"/>
    <mergeCell ref="A74:D74"/>
    <mergeCell ref="A12:D12"/>
    <mergeCell ref="B7:C7"/>
    <mergeCell ref="B91:I91"/>
    <mergeCell ref="A37:I37"/>
    <mergeCell ref="A35:D35"/>
    <mergeCell ref="A75:I75"/>
    <mergeCell ref="A66:I66"/>
    <mergeCell ref="A89:I89"/>
    <mergeCell ref="B90:I90"/>
    <mergeCell ref="A18:I18"/>
    <mergeCell ref="E96:H96"/>
    <mergeCell ref="A82:D82"/>
    <mergeCell ref="A16:I16"/>
    <mergeCell ref="A11:D11"/>
    <mergeCell ref="A81:I81"/>
    <mergeCell ref="A68:I68"/>
    <mergeCell ref="A28:I28"/>
    <mergeCell ref="A87:D87"/>
    <mergeCell ref="A65:D65"/>
    <mergeCell ref="B96:C96"/>
    <mergeCell ref="B93:I93"/>
    <mergeCell ref="A13:D13"/>
    <mergeCell ref="A44:D44"/>
    <mergeCell ref="A57:I57"/>
    <mergeCell ref="A77:I77"/>
    <mergeCell ref="A84:D84"/>
    <mergeCell ref="A1:I1"/>
    <mergeCell ref="A45:I45"/>
    <mergeCell ref="A55:D55"/>
    <mergeCell ref="A86:D86"/>
    <mergeCell ref="B94:I94"/>
    <mergeCell ref="A85:D85"/>
    <mergeCell ref="A14:D14"/>
    <mergeCell ref="A2:I2"/>
    <mergeCell ref="A5:C5"/>
    <mergeCell ref="A47:I47"/>
    <mergeCell ref="A83:D83"/>
    <mergeCell ref="E6:I6"/>
    <mergeCell ref="D5:I5"/>
    <mergeCell ref="A9:I9"/>
    <mergeCell ref="A3:I3"/>
    <mergeCell ref="A10:D1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9"/>
  <sheetViews>
    <sheetView showGridLines="0" zoomScaleNormal="100" workbookViewId="0">
      <selection activeCell="L7" sqref="L7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440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441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442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443</v>
      </c>
      <c r="B20" s="5" t="s">
        <v>210</v>
      </c>
      <c r="C20" s="5" t="s">
        <v>211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29</v>
      </c>
      <c r="B21" s="5" t="s">
        <v>373</v>
      </c>
      <c r="C21" s="5" t="s">
        <v>31</v>
      </c>
      <c r="D21" s="5" t="s">
        <v>227</v>
      </c>
      <c r="E21" s="6"/>
      <c r="F21" s="6"/>
      <c r="G21" s="6"/>
      <c r="H21" s="6"/>
      <c r="I21" s="23"/>
    </row>
    <row r="22" spans="1:9" ht="30" customHeight="1" x14ac:dyDescent="0.3">
      <c r="A22" s="22" t="s">
        <v>444</v>
      </c>
      <c r="B22" s="5" t="s">
        <v>445</v>
      </c>
      <c r="C22" s="5" t="s">
        <v>394</v>
      </c>
      <c r="D22" s="5" t="s">
        <v>446</v>
      </c>
      <c r="E22" s="6"/>
      <c r="F22" s="6"/>
      <c r="G22" s="6"/>
      <c r="H22" s="6"/>
      <c r="I22" s="23"/>
    </row>
    <row r="23" spans="1:9" ht="30" customHeight="1" x14ac:dyDescent="0.3">
      <c r="A23" s="22" t="s">
        <v>374</v>
      </c>
      <c r="B23" s="5" t="s">
        <v>220</v>
      </c>
      <c r="C23" s="5" t="s">
        <v>221</v>
      </c>
      <c r="D23" s="5" t="s">
        <v>222</v>
      </c>
      <c r="E23" s="6"/>
      <c r="F23" s="6"/>
      <c r="G23" s="6"/>
      <c r="H23" s="6"/>
      <c r="I23" s="23"/>
    </row>
    <row r="24" spans="1:9" ht="30" customHeight="1" x14ac:dyDescent="0.3">
      <c r="A24" s="22" t="s">
        <v>447</v>
      </c>
      <c r="B24" s="5" t="s">
        <v>448</v>
      </c>
      <c r="C24" s="5" t="s">
        <v>449</v>
      </c>
      <c r="D24" s="5" t="s">
        <v>450</v>
      </c>
      <c r="E24" s="6"/>
      <c r="F24" s="6"/>
      <c r="G24" s="6"/>
      <c r="H24" s="6"/>
      <c r="I24" s="23"/>
    </row>
    <row r="25" spans="1:9" ht="30" customHeight="1" x14ac:dyDescent="0.3">
      <c r="A25" s="22" t="s">
        <v>41</v>
      </c>
      <c r="B25" s="5" t="s">
        <v>236</v>
      </c>
      <c r="C25" s="5" t="s">
        <v>381</v>
      </c>
      <c r="D25" s="5" t="s">
        <v>44</v>
      </c>
      <c r="E25" s="6"/>
      <c r="F25" s="6"/>
      <c r="G25" s="6"/>
      <c r="H25" s="6"/>
      <c r="I25" s="23"/>
    </row>
    <row r="26" spans="1:9" ht="30" customHeight="1" x14ac:dyDescent="0.3">
      <c r="A26" s="22" t="s">
        <v>382</v>
      </c>
      <c r="B26" s="5" t="s">
        <v>451</v>
      </c>
      <c r="C26" s="5" t="s">
        <v>384</v>
      </c>
      <c r="D26" s="5" t="s">
        <v>385</v>
      </c>
      <c r="E26" s="6"/>
      <c r="F26" s="6"/>
      <c r="G26" s="6"/>
      <c r="H26" s="6"/>
      <c r="I26" s="23"/>
    </row>
    <row r="27" spans="1:9" ht="30" customHeight="1" x14ac:dyDescent="0.3">
      <c r="A27" s="22" t="s">
        <v>452</v>
      </c>
      <c r="B27" s="5" t="s">
        <v>242</v>
      </c>
      <c r="C27" s="5" t="s">
        <v>243</v>
      </c>
      <c r="D27" s="5" t="s">
        <v>453</v>
      </c>
      <c r="E27" s="6"/>
      <c r="F27" s="6"/>
      <c r="G27" s="6"/>
      <c r="H27" s="6"/>
      <c r="I27" s="23"/>
    </row>
    <row r="28" spans="1:9" x14ac:dyDescent="0.3">
      <c r="A28" s="97" t="s">
        <v>53</v>
      </c>
      <c r="B28" s="57"/>
      <c r="C28" s="57"/>
      <c r="D28" s="58"/>
      <c r="E28" s="7" t="str">
        <f>IFERROR(AVERAGE(E20:E27),"")</f>
        <v/>
      </c>
      <c r="F28" s="7" t="str">
        <f>IFERROR(AVERAGE(F20:F27),"")</f>
        <v/>
      </c>
      <c r="G28" s="7" t="str">
        <f>IFERROR(AVERAGE(G20:G27),"")</f>
        <v/>
      </c>
      <c r="H28" s="7" t="str">
        <f>IFERROR(AVERAGE(H20:H27),"")</f>
        <v/>
      </c>
      <c r="I28" s="24" t="str">
        <f>IFERROR(AVERAGE(I20:I27),"")</f>
        <v/>
      </c>
    </row>
    <row r="29" spans="1:9" x14ac:dyDescent="0.3">
      <c r="A29" s="96" t="s">
        <v>454</v>
      </c>
      <c r="B29" s="57"/>
      <c r="C29" s="57"/>
      <c r="D29" s="57"/>
      <c r="E29" s="57"/>
      <c r="F29" s="57"/>
      <c r="G29" s="57"/>
      <c r="H29" s="57"/>
      <c r="I29" s="58"/>
    </row>
    <row r="30" spans="1:9" x14ac:dyDescent="0.3">
      <c r="A30" s="96" t="s">
        <v>455</v>
      </c>
      <c r="B30" s="57"/>
      <c r="C30" s="57"/>
      <c r="D30" s="57"/>
      <c r="E30" s="57"/>
      <c r="F30" s="57"/>
      <c r="G30" s="57"/>
      <c r="H30" s="57"/>
      <c r="I30" s="58"/>
    </row>
    <row r="31" spans="1:9" x14ac:dyDescent="0.3">
      <c r="A31" s="96" t="s">
        <v>456</v>
      </c>
      <c r="B31" s="57"/>
      <c r="C31" s="57"/>
      <c r="D31" s="57"/>
      <c r="E31" s="57"/>
      <c r="F31" s="57"/>
      <c r="G31" s="57"/>
      <c r="H31" s="57"/>
      <c r="I31" s="58"/>
    </row>
    <row r="32" spans="1:9" x14ac:dyDescent="0.3">
      <c r="A32" s="34"/>
      <c r="B32" s="3"/>
      <c r="C32" s="3"/>
      <c r="D32" s="3"/>
      <c r="E32" s="3"/>
      <c r="F32" s="3"/>
      <c r="G32" s="3"/>
      <c r="H32" s="3"/>
      <c r="I32" s="35"/>
    </row>
    <row r="33" spans="1:9" ht="15.75" customHeight="1" x14ac:dyDescent="0.3">
      <c r="A33" s="56" t="s">
        <v>457</v>
      </c>
      <c r="B33" s="57"/>
      <c r="C33" s="57"/>
      <c r="D33" s="57"/>
      <c r="E33" s="57"/>
      <c r="F33" s="57"/>
      <c r="G33" s="57"/>
      <c r="H33" s="57"/>
      <c r="I33" s="58"/>
    </row>
    <row r="34" spans="1:9" ht="24" customHeight="1" x14ac:dyDescent="0.3">
      <c r="A34" s="20" t="s">
        <v>21</v>
      </c>
      <c r="B34" s="4" t="s">
        <v>22</v>
      </c>
      <c r="C34" s="4" t="s">
        <v>23</v>
      </c>
      <c r="D34" s="4" t="s">
        <v>24</v>
      </c>
      <c r="E34" s="4" t="s">
        <v>10</v>
      </c>
      <c r="F34" s="4" t="s">
        <v>11</v>
      </c>
      <c r="G34" s="4" t="s">
        <v>12</v>
      </c>
      <c r="H34" s="4" t="s">
        <v>13</v>
      </c>
      <c r="I34" s="21" t="s">
        <v>14</v>
      </c>
    </row>
    <row r="35" spans="1:9" ht="30" customHeight="1" x14ac:dyDescent="0.3">
      <c r="A35" s="22" t="s">
        <v>56</v>
      </c>
      <c r="B35" s="5" t="s">
        <v>248</v>
      </c>
      <c r="C35" s="5" t="s">
        <v>458</v>
      </c>
      <c r="D35" s="5" t="s">
        <v>459</v>
      </c>
      <c r="E35" s="6"/>
      <c r="F35" s="6"/>
      <c r="G35" s="6"/>
      <c r="H35" s="6"/>
      <c r="I35" s="23"/>
    </row>
    <row r="36" spans="1:9" ht="30" customHeight="1" x14ac:dyDescent="0.3">
      <c r="A36" s="22" t="s">
        <v>460</v>
      </c>
      <c r="B36" s="5" t="s">
        <v>461</v>
      </c>
      <c r="C36" s="5" t="s">
        <v>462</v>
      </c>
      <c r="D36" s="5" t="s">
        <v>463</v>
      </c>
      <c r="E36" s="6"/>
      <c r="F36" s="6"/>
      <c r="G36" s="6"/>
      <c r="H36" s="6"/>
      <c r="I36" s="23"/>
    </row>
    <row r="37" spans="1:9" ht="30" customHeight="1" x14ac:dyDescent="0.3">
      <c r="A37" s="22" t="s">
        <v>464</v>
      </c>
      <c r="B37" s="5" t="s">
        <v>465</v>
      </c>
      <c r="C37" s="5" t="s">
        <v>394</v>
      </c>
      <c r="D37" s="5" t="s">
        <v>466</v>
      </c>
      <c r="E37" s="6"/>
      <c r="F37" s="6"/>
      <c r="G37" s="6"/>
      <c r="H37" s="6"/>
      <c r="I37" s="23"/>
    </row>
    <row r="38" spans="1:9" ht="30" customHeight="1" x14ac:dyDescent="0.3">
      <c r="A38" s="22" t="s">
        <v>467</v>
      </c>
      <c r="B38" s="5" t="s">
        <v>468</v>
      </c>
      <c r="C38" s="5" t="s">
        <v>469</v>
      </c>
      <c r="D38" s="5" t="s">
        <v>470</v>
      </c>
      <c r="E38" s="6"/>
      <c r="F38" s="6"/>
      <c r="G38" s="6"/>
      <c r="H38" s="6"/>
      <c r="I38" s="23"/>
    </row>
    <row r="39" spans="1:9" ht="30" customHeight="1" x14ac:dyDescent="0.3">
      <c r="A39" s="22" t="s">
        <v>396</v>
      </c>
      <c r="B39" s="5" t="s">
        <v>61</v>
      </c>
      <c r="C39" s="5" t="s">
        <v>62</v>
      </c>
      <c r="D39" s="5" t="s">
        <v>471</v>
      </c>
      <c r="E39" s="6"/>
      <c r="F39" s="6"/>
      <c r="G39" s="6"/>
      <c r="H39" s="6"/>
      <c r="I39" s="23"/>
    </row>
    <row r="40" spans="1:9" x14ac:dyDescent="0.3">
      <c r="A40" s="97" t="s">
        <v>80</v>
      </c>
      <c r="B40" s="57"/>
      <c r="C40" s="57"/>
      <c r="D40" s="58"/>
      <c r="E40" s="7" t="str">
        <f>IFERROR(AVERAGE(E35:E39),"")</f>
        <v/>
      </c>
      <c r="F40" s="7" t="str">
        <f>IFERROR(AVERAGE(F35:F39),"")</f>
        <v/>
      </c>
      <c r="G40" s="7" t="str">
        <f>IFERROR(AVERAGE(G35:G39),"")</f>
        <v/>
      </c>
      <c r="H40" s="7" t="str">
        <f>IFERROR(AVERAGE(H35:H39),"")</f>
        <v/>
      </c>
      <c r="I40" s="24" t="str">
        <f>IFERROR(AVERAGE(I35:I39),"")</f>
        <v/>
      </c>
    </row>
    <row r="41" spans="1:9" x14ac:dyDescent="0.3">
      <c r="A41" s="96" t="s">
        <v>472</v>
      </c>
      <c r="B41" s="57"/>
      <c r="C41" s="57"/>
      <c r="D41" s="57"/>
      <c r="E41" s="57"/>
      <c r="F41" s="57"/>
      <c r="G41" s="57"/>
      <c r="H41" s="57"/>
      <c r="I41" s="58"/>
    </row>
    <row r="42" spans="1:9" x14ac:dyDescent="0.3">
      <c r="A42" s="96" t="s">
        <v>473</v>
      </c>
      <c r="B42" s="57"/>
      <c r="C42" s="57"/>
      <c r="D42" s="57"/>
      <c r="E42" s="57"/>
      <c r="F42" s="57"/>
      <c r="G42" s="57"/>
      <c r="H42" s="57"/>
      <c r="I42" s="58"/>
    </row>
    <row r="43" spans="1:9" x14ac:dyDescent="0.3">
      <c r="A43" s="34"/>
      <c r="B43" s="3"/>
      <c r="C43" s="3"/>
      <c r="D43" s="3"/>
      <c r="E43" s="3"/>
      <c r="F43" s="3"/>
      <c r="G43" s="3"/>
      <c r="H43" s="3"/>
      <c r="I43" s="35"/>
    </row>
    <row r="44" spans="1:9" ht="15.75" customHeight="1" x14ac:dyDescent="0.3">
      <c r="A44" s="56" t="s">
        <v>82</v>
      </c>
      <c r="B44" s="57"/>
      <c r="C44" s="57"/>
      <c r="D44" s="57"/>
      <c r="E44" s="57"/>
      <c r="F44" s="57"/>
      <c r="G44" s="57"/>
      <c r="H44" s="57"/>
      <c r="I44" s="58"/>
    </row>
    <row r="45" spans="1:9" ht="24" customHeight="1" x14ac:dyDescent="0.3">
      <c r="A45" s="20" t="s">
        <v>21</v>
      </c>
      <c r="B45" s="4" t="s">
        <v>22</v>
      </c>
      <c r="C45" s="4" t="s">
        <v>23</v>
      </c>
      <c r="D45" s="4" t="s">
        <v>24</v>
      </c>
      <c r="E45" s="4" t="s">
        <v>10</v>
      </c>
      <c r="F45" s="4" t="s">
        <v>11</v>
      </c>
      <c r="G45" s="4" t="s">
        <v>12</v>
      </c>
      <c r="H45" s="4" t="s">
        <v>13</v>
      </c>
      <c r="I45" s="21" t="s">
        <v>14</v>
      </c>
    </row>
    <row r="46" spans="1:9" ht="30" customHeight="1" x14ac:dyDescent="0.3">
      <c r="A46" s="22" t="s">
        <v>400</v>
      </c>
      <c r="B46" s="5" t="s">
        <v>474</v>
      </c>
      <c r="C46" s="5" t="s">
        <v>280</v>
      </c>
      <c r="D46" s="5" t="s">
        <v>401</v>
      </c>
      <c r="E46" s="6"/>
      <c r="F46" s="6"/>
      <c r="G46" s="6"/>
      <c r="H46" s="6"/>
      <c r="I46" s="23"/>
    </row>
    <row r="47" spans="1:9" ht="30" customHeight="1" x14ac:dyDescent="0.3">
      <c r="A47" s="22" t="s">
        <v>475</v>
      </c>
      <c r="B47" s="5" t="s">
        <v>476</v>
      </c>
      <c r="C47" s="5" t="s">
        <v>477</v>
      </c>
      <c r="D47" s="5" t="s">
        <v>478</v>
      </c>
      <c r="E47" s="6"/>
      <c r="F47" s="6"/>
      <c r="G47" s="6"/>
      <c r="H47" s="6"/>
      <c r="I47" s="23"/>
    </row>
    <row r="48" spans="1:9" ht="30" customHeight="1" x14ac:dyDescent="0.3">
      <c r="A48" s="22" t="s">
        <v>479</v>
      </c>
      <c r="B48" s="5" t="s">
        <v>480</v>
      </c>
      <c r="C48" s="5" t="s">
        <v>78</v>
      </c>
      <c r="D48" s="5" t="s">
        <v>481</v>
      </c>
      <c r="E48" s="6"/>
      <c r="F48" s="6"/>
      <c r="G48" s="6"/>
      <c r="H48" s="6"/>
      <c r="I48" s="23"/>
    </row>
    <row r="49" spans="1:9" ht="30" customHeight="1" x14ac:dyDescent="0.3">
      <c r="A49" s="22" t="s">
        <v>482</v>
      </c>
      <c r="B49" s="5" t="s">
        <v>483</v>
      </c>
      <c r="C49" s="5" t="s">
        <v>78</v>
      </c>
      <c r="D49" s="5" t="s">
        <v>484</v>
      </c>
      <c r="E49" s="6"/>
      <c r="F49" s="6"/>
      <c r="G49" s="6"/>
      <c r="H49" s="6"/>
      <c r="I49" s="23"/>
    </row>
    <row r="50" spans="1:9" ht="30" customHeight="1" x14ac:dyDescent="0.3">
      <c r="A50" s="22" t="s">
        <v>485</v>
      </c>
      <c r="B50" s="5" t="s">
        <v>486</v>
      </c>
      <c r="C50" s="5" t="s">
        <v>313</v>
      </c>
      <c r="D50" s="5" t="s">
        <v>487</v>
      </c>
      <c r="E50" s="6"/>
      <c r="F50" s="6"/>
      <c r="G50" s="6"/>
      <c r="H50" s="6"/>
      <c r="I50" s="23"/>
    </row>
    <row r="51" spans="1:9" ht="30" customHeight="1" x14ac:dyDescent="0.3">
      <c r="A51" s="22" t="s">
        <v>488</v>
      </c>
      <c r="B51" s="5" t="s">
        <v>489</v>
      </c>
      <c r="C51" s="5" t="s">
        <v>78</v>
      </c>
      <c r="D51" s="5" t="s">
        <v>490</v>
      </c>
      <c r="E51" s="6"/>
      <c r="F51" s="6"/>
      <c r="G51" s="6"/>
      <c r="H51" s="6"/>
      <c r="I51" s="23"/>
    </row>
    <row r="52" spans="1:9" ht="30" customHeight="1" x14ac:dyDescent="0.3">
      <c r="A52" s="22" t="s">
        <v>491</v>
      </c>
      <c r="B52" s="5" t="s">
        <v>492</v>
      </c>
      <c r="C52" s="5" t="s">
        <v>78</v>
      </c>
      <c r="D52" s="5" t="s">
        <v>493</v>
      </c>
      <c r="E52" s="6"/>
      <c r="F52" s="6"/>
      <c r="G52" s="6"/>
      <c r="H52" s="6"/>
      <c r="I52" s="23"/>
    </row>
    <row r="53" spans="1:9" x14ac:dyDescent="0.3">
      <c r="A53" s="97" t="s">
        <v>108</v>
      </c>
      <c r="B53" s="57"/>
      <c r="C53" s="57"/>
      <c r="D53" s="58"/>
      <c r="E53" s="7" t="str">
        <f>IFERROR(AVERAGE(E46:E52),"")</f>
        <v/>
      </c>
      <c r="F53" s="7" t="str">
        <f>IFERROR(AVERAGE(F46:F52),"")</f>
        <v/>
      </c>
      <c r="G53" s="7" t="str">
        <f>IFERROR(AVERAGE(G46:G52),"")</f>
        <v/>
      </c>
      <c r="H53" s="7" t="str">
        <f>IFERROR(AVERAGE(H46:H52),"")</f>
        <v/>
      </c>
      <c r="I53" s="24" t="str">
        <f>IFERROR(AVERAGE(I46:I52),"")</f>
        <v/>
      </c>
    </row>
    <row r="54" spans="1:9" x14ac:dyDescent="0.3">
      <c r="A54" s="96" t="s">
        <v>494</v>
      </c>
      <c r="B54" s="57"/>
      <c r="C54" s="57"/>
      <c r="D54" s="57"/>
      <c r="E54" s="57"/>
      <c r="F54" s="57"/>
      <c r="G54" s="57"/>
      <c r="H54" s="57"/>
      <c r="I54" s="58"/>
    </row>
    <row r="55" spans="1:9" x14ac:dyDescent="0.3">
      <c r="A55" s="96" t="s">
        <v>495</v>
      </c>
      <c r="B55" s="57"/>
      <c r="C55" s="57"/>
      <c r="D55" s="57"/>
      <c r="E55" s="57"/>
      <c r="F55" s="57"/>
      <c r="G55" s="57"/>
      <c r="H55" s="57"/>
      <c r="I55" s="58"/>
    </row>
    <row r="56" spans="1:9" x14ac:dyDescent="0.3">
      <c r="A56" s="96" t="s">
        <v>496</v>
      </c>
      <c r="B56" s="57"/>
      <c r="C56" s="57"/>
      <c r="D56" s="57"/>
      <c r="E56" s="57"/>
      <c r="F56" s="57"/>
      <c r="G56" s="57"/>
      <c r="H56" s="57"/>
      <c r="I56" s="58"/>
    </row>
    <row r="57" spans="1:9" x14ac:dyDescent="0.3">
      <c r="A57" s="96" t="s">
        <v>497</v>
      </c>
      <c r="B57" s="57"/>
      <c r="C57" s="57"/>
      <c r="D57" s="57"/>
      <c r="E57" s="57"/>
      <c r="F57" s="57"/>
      <c r="G57" s="57"/>
      <c r="H57" s="57"/>
      <c r="I57" s="58"/>
    </row>
    <row r="58" spans="1:9" x14ac:dyDescent="0.3">
      <c r="A58" s="34"/>
      <c r="B58" s="3"/>
      <c r="C58" s="3"/>
      <c r="D58" s="3"/>
      <c r="E58" s="3"/>
      <c r="F58" s="3"/>
      <c r="G58" s="3"/>
      <c r="H58" s="3"/>
      <c r="I58" s="35"/>
    </row>
    <row r="59" spans="1:9" ht="15.75" customHeight="1" x14ac:dyDescent="0.3">
      <c r="A59" s="56" t="s">
        <v>498</v>
      </c>
      <c r="B59" s="57"/>
      <c r="C59" s="57"/>
      <c r="D59" s="57"/>
      <c r="E59" s="57"/>
      <c r="F59" s="57"/>
      <c r="G59" s="57"/>
      <c r="H59" s="57"/>
      <c r="I59" s="58"/>
    </row>
    <row r="60" spans="1:9" ht="24" customHeight="1" x14ac:dyDescent="0.3">
      <c r="A60" s="20" t="s">
        <v>21</v>
      </c>
      <c r="B60" s="4" t="s">
        <v>22</v>
      </c>
      <c r="C60" s="4" t="s">
        <v>23</v>
      </c>
      <c r="D60" s="4" t="s">
        <v>24</v>
      </c>
      <c r="E60" s="4" t="s">
        <v>10</v>
      </c>
      <c r="F60" s="4" t="s">
        <v>11</v>
      </c>
      <c r="G60" s="4" t="s">
        <v>12</v>
      </c>
      <c r="H60" s="4" t="s">
        <v>13</v>
      </c>
      <c r="I60" s="21" t="s">
        <v>14</v>
      </c>
    </row>
    <row r="61" spans="1:9" ht="30" customHeight="1" x14ac:dyDescent="0.3">
      <c r="A61" s="22" t="s">
        <v>300</v>
      </c>
      <c r="B61" s="5" t="s">
        <v>416</v>
      </c>
      <c r="C61" s="5" t="s">
        <v>499</v>
      </c>
      <c r="D61" s="5" t="s">
        <v>303</v>
      </c>
      <c r="E61" s="6"/>
      <c r="F61" s="6"/>
      <c r="G61" s="6"/>
      <c r="H61" s="6"/>
      <c r="I61" s="23"/>
    </row>
    <row r="62" spans="1:9" ht="30" customHeight="1" x14ac:dyDescent="0.3">
      <c r="A62" s="22" t="s">
        <v>500</v>
      </c>
      <c r="B62" s="5" t="s">
        <v>501</v>
      </c>
      <c r="C62" s="5" t="s">
        <v>502</v>
      </c>
      <c r="D62" s="5" t="s">
        <v>503</v>
      </c>
      <c r="E62" s="6"/>
      <c r="F62" s="6"/>
      <c r="G62" s="6"/>
      <c r="H62" s="6"/>
      <c r="I62" s="23"/>
    </row>
    <row r="63" spans="1:9" ht="30" customHeight="1" x14ac:dyDescent="0.3">
      <c r="A63" s="22" t="s">
        <v>118</v>
      </c>
      <c r="B63" s="5" t="s">
        <v>419</v>
      </c>
      <c r="C63" s="5" t="s">
        <v>78</v>
      </c>
      <c r="D63" s="5" t="s">
        <v>420</v>
      </c>
      <c r="E63" s="6"/>
      <c r="F63" s="6"/>
      <c r="G63" s="6"/>
      <c r="H63" s="6"/>
      <c r="I63" s="23"/>
    </row>
    <row r="64" spans="1:9" ht="30" customHeight="1" x14ac:dyDescent="0.3">
      <c r="A64" s="22" t="s">
        <v>297</v>
      </c>
      <c r="B64" s="5" t="s">
        <v>115</v>
      </c>
      <c r="C64" s="5" t="s">
        <v>504</v>
      </c>
      <c r="D64" s="5" t="s">
        <v>505</v>
      </c>
      <c r="E64" s="6"/>
      <c r="F64" s="6"/>
      <c r="G64" s="6"/>
      <c r="H64" s="6"/>
      <c r="I64" s="23"/>
    </row>
    <row r="65" spans="1:9" ht="30" customHeight="1" x14ac:dyDescent="0.3">
      <c r="A65" s="22" t="s">
        <v>506</v>
      </c>
      <c r="B65" s="5" t="s">
        <v>507</v>
      </c>
      <c r="C65" s="5" t="s">
        <v>78</v>
      </c>
      <c r="D65" s="5" t="s">
        <v>508</v>
      </c>
      <c r="E65" s="6"/>
      <c r="F65" s="6"/>
      <c r="G65" s="6"/>
      <c r="H65" s="6"/>
      <c r="I65" s="23"/>
    </row>
    <row r="66" spans="1:9" ht="30" customHeight="1" x14ac:dyDescent="0.3">
      <c r="A66" s="22" t="s">
        <v>509</v>
      </c>
      <c r="B66" s="5" t="s">
        <v>510</v>
      </c>
      <c r="C66" s="5" t="s">
        <v>78</v>
      </c>
      <c r="D66" s="5" t="s">
        <v>511</v>
      </c>
      <c r="E66" s="6"/>
      <c r="F66" s="6"/>
      <c r="G66" s="6"/>
      <c r="H66" s="6"/>
      <c r="I66" s="23"/>
    </row>
    <row r="67" spans="1:9" ht="30" customHeight="1" x14ac:dyDescent="0.3">
      <c r="A67" s="22" t="s">
        <v>512</v>
      </c>
      <c r="B67" s="5" t="s">
        <v>513</v>
      </c>
      <c r="C67" s="5" t="s">
        <v>514</v>
      </c>
      <c r="D67" s="5" t="s">
        <v>515</v>
      </c>
      <c r="E67" s="6"/>
      <c r="F67" s="6"/>
      <c r="G67" s="6"/>
      <c r="H67" s="6"/>
      <c r="I67" s="23"/>
    </row>
    <row r="68" spans="1:9" ht="30" customHeight="1" x14ac:dyDescent="0.3">
      <c r="A68" s="22" t="s">
        <v>315</v>
      </c>
      <c r="B68" s="5" t="s">
        <v>516</v>
      </c>
      <c r="C68" s="5" t="s">
        <v>78</v>
      </c>
      <c r="D68" s="5" t="s">
        <v>517</v>
      </c>
      <c r="E68" s="6"/>
      <c r="F68" s="6"/>
      <c r="G68" s="6"/>
      <c r="H68" s="6"/>
      <c r="I68" s="23"/>
    </row>
    <row r="69" spans="1:9" x14ac:dyDescent="0.3">
      <c r="A69" s="97" t="s">
        <v>137</v>
      </c>
      <c r="B69" s="57"/>
      <c r="C69" s="57"/>
      <c r="D69" s="58"/>
      <c r="E69" s="7" t="str">
        <f>IFERROR(AVERAGE(E61:E68),"")</f>
        <v/>
      </c>
      <c r="F69" s="7" t="str">
        <f>IFERROR(AVERAGE(F61:F68),"")</f>
        <v/>
      </c>
      <c r="G69" s="7" t="str">
        <f>IFERROR(AVERAGE(G61:G68),"")</f>
        <v/>
      </c>
      <c r="H69" s="7" t="str">
        <f>IFERROR(AVERAGE(H61:H68),"")</f>
        <v/>
      </c>
      <c r="I69" s="24" t="str">
        <f>IFERROR(AVERAGE(I61:I68),"")</f>
        <v/>
      </c>
    </row>
    <row r="70" spans="1:9" x14ac:dyDescent="0.3">
      <c r="A70" s="96" t="s">
        <v>518</v>
      </c>
      <c r="B70" s="57"/>
      <c r="C70" s="57"/>
      <c r="D70" s="57"/>
      <c r="E70" s="57"/>
      <c r="F70" s="57"/>
      <c r="G70" s="57"/>
      <c r="H70" s="57"/>
      <c r="I70" s="58"/>
    </row>
    <row r="71" spans="1:9" x14ac:dyDescent="0.3">
      <c r="A71" s="96" t="s">
        <v>519</v>
      </c>
      <c r="B71" s="57"/>
      <c r="C71" s="57"/>
      <c r="D71" s="57"/>
      <c r="E71" s="57"/>
      <c r="F71" s="57"/>
      <c r="G71" s="57"/>
      <c r="H71" s="57"/>
      <c r="I71" s="58"/>
    </row>
    <row r="72" spans="1:9" x14ac:dyDescent="0.3">
      <c r="A72" s="34"/>
      <c r="B72" s="3"/>
      <c r="C72" s="3"/>
      <c r="D72" s="3"/>
      <c r="E72" s="3"/>
      <c r="F72" s="3"/>
      <c r="G72" s="3"/>
      <c r="H72" s="3"/>
      <c r="I72" s="35"/>
    </row>
    <row r="73" spans="1:9" ht="15.75" customHeight="1" x14ac:dyDescent="0.3">
      <c r="A73" s="56" t="s">
        <v>139</v>
      </c>
      <c r="B73" s="57"/>
      <c r="C73" s="57"/>
      <c r="D73" s="57"/>
      <c r="E73" s="57"/>
      <c r="F73" s="57"/>
      <c r="G73" s="57"/>
      <c r="H73" s="57"/>
      <c r="I73" s="58"/>
    </row>
    <row r="74" spans="1:9" ht="24" customHeight="1" x14ac:dyDescent="0.3">
      <c r="A74" s="20" t="s">
        <v>21</v>
      </c>
      <c r="B74" s="4" t="s">
        <v>22</v>
      </c>
      <c r="C74" s="4" t="s">
        <v>23</v>
      </c>
      <c r="D74" s="4" t="s">
        <v>24</v>
      </c>
      <c r="E74" s="4" t="s">
        <v>10</v>
      </c>
      <c r="F74" s="4" t="s">
        <v>11</v>
      </c>
      <c r="G74" s="4" t="s">
        <v>12</v>
      </c>
      <c r="H74" s="4" t="s">
        <v>13</v>
      </c>
      <c r="I74" s="21" t="s">
        <v>14</v>
      </c>
    </row>
    <row r="75" spans="1:9" ht="30" customHeight="1" x14ac:dyDescent="0.3">
      <c r="A75" s="22" t="s">
        <v>140</v>
      </c>
      <c r="B75" s="5" t="s">
        <v>520</v>
      </c>
      <c r="C75" s="5" t="s">
        <v>142</v>
      </c>
      <c r="D75" s="5" t="s">
        <v>521</v>
      </c>
      <c r="E75" s="6"/>
      <c r="F75" s="6"/>
      <c r="G75" s="6"/>
      <c r="H75" s="6"/>
      <c r="I75" s="23"/>
    </row>
    <row r="76" spans="1:9" ht="30" customHeight="1" x14ac:dyDescent="0.3">
      <c r="A76" s="22" t="s">
        <v>522</v>
      </c>
      <c r="B76" s="5" t="s">
        <v>426</v>
      </c>
      <c r="C76" s="5" t="s">
        <v>321</v>
      </c>
      <c r="D76" s="5" t="s">
        <v>427</v>
      </c>
      <c r="E76" s="6"/>
      <c r="F76" s="6"/>
      <c r="G76" s="6"/>
      <c r="H76" s="6"/>
      <c r="I76" s="23"/>
    </row>
    <row r="77" spans="1:9" ht="30" customHeight="1" x14ac:dyDescent="0.3">
      <c r="A77" s="22" t="s">
        <v>523</v>
      </c>
      <c r="B77" s="5" t="s">
        <v>325</v>
      </c>
      <c r="C77" s="5" t="s">
        <v>280</v>
      </c>
      <c r="D77" s="5" t="s">
        <v>524</v>
      </c>
      <c r="E77" s="6"/>
      <c r="F77" s="6"/>
      <c r="G77" s="6"/>
      <c r="H77" s="6"/>
      <c r="I77" s="23"/>
    </row>
    <row r="78" spans="1:9" ht="30" customHeight="1" x14ac:dyDescent="0.3">
      <c r="A78" s="22" t="s">
        <v>525</v>
      </c>
      <c r="B78" s="5" t="s">
        <v>155</v>
      </c>
      <c r="C78" s="5" t="s">
        <v>156</v>
      </c>
      <c r="D78" s="5" t="s">
        <v>157</v>
      </c>
      <c r="E78" s="6"/>
      <c r="F78" s="6"/>
      <c r="G78" s="6"/>
      <c r="H78" s="6"/>
      <c r="I78" s="23"/>
    </row>
    <row r="79" spans="1:9" ht="30" customHeight="1" x14ac:dyDescent="0.3">
      <c r="A79" s="22" t="s">
        <v>526</v>
      </c>
      <c r="B79" s="5" t="s">
        <v>338</v>
      </c>
      <c r="C79" s="5" t="s">
        <v>339</v>
      </c>
      <c r="D79" s="5" t="s">
        <v>340</v>
      </c>
      <c r="E79" s="6"/>
      <c r="F79" s="6"/>
      <c r="G79" s="6"/>
      <c r="H79" s="6"/>
      <c r="I79" s="23"/>
    </row>
    <row r="80" spans="1:9" ht="30" customHeight="1" x14ac:dyDescent="0.3">
      <c r="A80" s="22" t="s">
        <v>527</v>
      </c>
      <c r="B80" s="5" t="s">
        <v>328</v>
      </c>
      <c r="C80" s="5" t="s">
        <v>78</v>
      </c>
      <c r="D80" s="5" t="s">
        <v>528</v>
      </c>
      <c r="E80" s="6"/>
      <c r="F80" s="6"/>
      <c r="G80" s="6"/>
      <c r="H80" s="6"/>
      <c r="I80" s="23"/>
    </row>
    <row r="81" spans="1:9" ht="30" customHeight="1" x14ac:dyDescent="0.3">
      <c r="A81" s="22" t="s">
        <v>529</v>
      </c>
      <c r="B81" s="5" t="s">
        <v>530</v>
      </c>
      <c r="C81" s="5" t="s">
        <v>531</v>
      </c>
      <c r="D81" s="5" t="s">
        <v>532</v>
      </c>
      <c r="E81" s="6"/>
      <c r="F81" s="6"/>
      <c r="G81" s="6"/>
      <c r="H81" s="6"/>
      <c r="I81" s="23"/>
    </row>
    <row r="82" spans="1:9" ht="30" customHeight="1" x14ac:dyDescent="0.3">
      <c r="A82" s="22" t="s">
        <v>533</v>
      </c>
      <c r="B82" s="5" t="s">
        <v>534</v>
      </c>
      <c r="C82" s="5" t="s">
        <v>78</v>
      </c>
      <c r="D82" s="5" t="s">
        <v>535</v>
      </c>
      <c r="E82" s="6"/>
      <c r="F82" s="6"/>
      <c r="G82" s="6"/>
      <c r="H82" s="6"/>
      <c r="I82" s="23"/>
    </row>
    <row r="83" spans="1:9" ht="30" customHeight="1" x14ac:dyDescent="0.3">
      <c r="A83" s="22" t="s">
        <v>536</v>
      </c>
      <c r="B83" s="5" t="s">
        <v>537</v>
      </c>
      <c r="C83" s="5" t="s">
        <v>78</v>
      </c>
      <c r="D83" s="5" t="s">
        <v>538</v>
      </c>
      <c r="E83" s="6"/>
      <c r="F83" s="6"/>
      <c r="G83" s="6"/>
      <c r="H83" s="6"/>
      <c r="I83" s="23"/>
    </row>
    <row r="84" spans="1:9" x14ac:dyDescent="0.3">
      <c r="A84" s="97" t="s">
        <v>166</v>
      </c>
      <c r="B84" s="57"/>
      <c r="C84" s="57"/>
      <c r="D84" s="58"/>
      <c r="E84" s="7" t="str">
        <f>IFERROR(AVERAGE(E75:E83),"")</f>
        <v/>
      </c>
      <c r="F84" s="7" t="str">
        <f>IFERROR(AVERAGE(F75:F83),"")</f>
        <v/>
      </c>
      <c r="G84" s="7" t="str">
        <f>IFERROR(AVERAGE(G75:G83),"")</f>
        <v/>
      </c>
      <c r="H84" s="7" t="str">
        <f>IFERROR(AVERAGE(H75:H83),"")</f>
        <v/>
      </c>
      <c r="I84" s="24" t="str">
        <f>IFERROR(AVERAGE(I75:I83),"")</f>
        <v/>
      </c>
    </row>
    <row r="85" spans="1:9" x14ac:dyDescent="0.3">
      <c r="A85" s="96" t="s">
        <v>539</v>
      </c>
      <c r="B85" s="57"/>
      <c r="C85" s="57"/>
      <c r="D85" s="57"/>
      <c r="E85" s="57"/>
      <c r="F85" s="57"/>
      <c r="G85" s="57"/>
      <c r="H85" s="57"/>
      <c r="I85" s="58"/>
    </row>
    <row r="86" spans="1:9" x14ac:dyDescent="0.3">
      <c r="A86" s="96" t="s">
        <v>540</v>
      </c>
      <c r="B86" s="57"/>
      <c r="C86" s="57"/>
      <c r="D86" s="57"/>
      <c r="E86" s="57"/>
      <c r="F86" s="57"/>
      <c r="G86" s="57"/>
      <c r="H86" s="57"/>
      <c r="I86" s="58"/>
    </row>
    <row r="87" spans="1:9" x14ac:dyDescent="0.3">
      <c r="A87" s="96" t="s">
        <v>541</v>
      </c>
      <c r="B87" s="57"/>
      <c r="C87" s="57"/>
      <c r="D87" s="57"/>
      <c r="E87" s="57"/>
      <c r="F87" s="57"/>
      <c r="G87" s="57"/>
      <c r="H87" s="57"/>
      <c r="I87" s="58"/>
    </row>
    <row r="88" spans="1:9" x14ac:dyDescent="0.3">
      <c r="A88" s="96" t="s">
        <v>542</v>
      </c>
      <c r="B88" s="57"/>
      <c r="C88" s="57"/>
      <c r="D88" s="57"/>
      <c r="E88" s="57"/>
      <c r="F88" s="57"/>
      <c r="G88" s="57"/>
      <c r="H88" s="57"/>
      <c r="I88" s="58"/>
    </row>
    <row r="89" spans="1:9" x14ac:dyDescent="0.3">
      <c r="A89" s="34"/>
      <c r="B89" s="3"/>
      <c r="C89" s="3"/>
      <c r="D89" s="3"/>
      <c r="E89" s="3"/>
      <c r="F89" s="3"/>
      <c r="G89" s="3"/>
      <c r="H89" s="3"/>
      <c r="I89" s="35"/>
    </row>
    <row r="90" spans="1:9" ht="15.75" customHeight="1" x14ac:dyDescent="0.3">
      <c r="A90" s="56" t="s">
        <v>167</v>
      </c>
      <c r="B90" s="57"/>
      <c r="C90" s="57"/>
      <c r="D90" s="57"/>
      <c r="E90" s="57"/>
      <c r="F90" s="57"/>
      <c r="G90" s="57"/>
      <c r="H90" s="57"/>
      <c r="I90" s="58"/>
    </row>
    <row r="91" spans="1:9" ht="24" customHeight="1" x14ac:dyDescent="0.3">
      <c r="A91" s="20" t="s">
        <v>21</v>
      </c>
      <c r="B91" s="4" t="s">
        <v>22</v>
      </c>
      <c r="C91" s="4" t="s">
        <v>23</v>
      </c>
      <c r="D91" s="4" t="s">
        <v>24</v>
      </c>
      <c r="E91" s="4" t="s">
        <v>10</v>
      </c>
      <c r="F91" s="4" t="s">
        <v>11</v>
      </c>
      <c r="G91" s="4" t="s">
        <v>12</v>
      </c>
      <c r="H91" s="4" t="s">
        <v>13</v>
      </c>
      <c r="I91" s="21" t="s">
        <v>14</v>
      </c>
    </row>
    <row r="92" spans="1:9" ht="30" customHeight="1" x14ac:dyDescent="0.3">
      <c r="A92" s="22" t="s">
        <v>346</v>
      </c>
      <c r="B92" s="5" t="s">
        <v>347</v>
      </c>
      <c r="C92" s="5" t="s">
        <v>348</v>
      </c>
      <c r="D92" s="5" t="s">
        <v>349</v>
      </c>
      <c r="E92" s="6"/>
      <c r="F92" s="6"/>
      <c r="G92" s="6"/>
      <c r="H92" s="6"/>
      <c r="I92" s="23"/>
    </row>
    <row r="93" spans="1:9" ht="30" customHeight="1" x14ac:dyDescent="0.3">
      <c r="A93" s="22" t="s">
        <v>350</v>
      </c>
      <c r="B93" s="5" t="s">
        <v>351</v>
      </c>
      <c r="C93" s="5" t="s">
        <v>352</v>
      </c>
      <c r="D93" s="5" t="s">
        <v>543</v>
      </c>
      <c r="E93" s="6"/>
      <c r="F93" s="6"/>
      <c r="G93" s="6"/>
      <c r="H93" s="6"/>
      <c r="I93" s="23"/>
    </row>
    <row r="94" spans="1:9" ht="30" customHeight="1" x14ac:dyDescent="0.3">
      <c r="A94" s="22" t="s">
        <v>180</v>
      </c>
      <c r="B94" s="5" t="s">
        <v>181</v>
      </c>
      <c r="C94" s="5" t="s">
        <v>182</v>
      </c>
      <c r="D94" s="5" t="s">
        <v>544</v>
      </c>
      <c r="E94" s="6"/>
      <c r="F94" s="6"/>
      <c r="G94" s="6"/>
      <c r="H94" s="6"/>
      <c r="I94" s="23"/>
    </row>
    <row r="95" spans="1:9" ht="30" customHeight="1" x14ac:dyDescent="0.3">
      <c r="A95" s="22" t="s">
        <v>545</v>
      </c>
      <c r="B95" s="5" t="s">
        <v>546</v>
      </c>
      <c r="C95" s="5" t="s">
        <v>287</v>
      </c>
      <c r="D95" s="5" t="s">
        <v>436</v>
      </c>
      <c r="E95" s="6"/>
      <c r="F95" s="6"/>
      <c r="G95" s="6"/>
      <c r="H95" s="6"/>
      <c r="I95" s="23"/>
    </row>
    <row r="96" spans="1:9" ht="30" customHeight="1" x14ac:dyDescent="0.3">
      <c r="A96" s="22" t="s">
        <v>547</v>
      </c>
      <c r="B96" s="5" t="s">
        <v>548</v>
      </c>
      <c r="C96" s="5" t="s">
        <v>169</v>
      </c>
      <c r="D96" s="5" t="s">
        <v>549</v>
      </c>
      <c r="E96" s="6"/>
      <c r="F96" s="6"/>
      <c r="G96" s="6"/>
      <c r="H96" s="6"/>
      <c r="I96" s="23"/>
    </row>
    <row r="97" spans="1:9" x14ac:dyDescent="0.3">
      <c r="A97" s="97" t="s">
        <v>184</v>
      </c>
      <c r="B97" s="57"/>
      <c r="C97" s="57"/>
      <c r="D97" s="58"/>
      <c r="E97" s="7" t="str">
        <f>IFERROR(AVERAGE(E92:E96),"")</f>
        <v/>
      </c>
      <c r="F97" s="7" t="str">
        <f>IFERROR(AVERAGE(F92:F96),"")</f>
        <v/>
      </c>
      <c r="G97" s="7" t="str">
        <f>IFERROR(AVERAGE(G92:G96),"")</f>
        <v/>
      </c>
      <c r="H97" s="7" t="str">
        <f>IFERROR(AVERAGE(H92:H96),"")</f>
        <v/>
      </c>
      <c r="I97" s="24" t="str">
        <f>IFERROR(AVERAGE(I92:I96),"")</f>
        <v/>
      </c>
    </row>
    <row r="98" spans="1:9" x14ac:dyDescent="0.3">
      <c r="A98" s="96" t="s">
        <v>550</v>
      </c>
      <c r="B98" s="57"/>
      <c r="C98" s="57"/>
      <c r="D98" s="57"/>
      <c r="E98" s="57"/>
      <c r="F98" s="57"/>
      <c r="G98" s="57"/>
      <c r="H98" s="57"/>
      <c r="I98" s="58"/>
    </row>
    <row r="99" spans="1:9" x14ac:dyDescent="0.3">
      <c r="A99" s="34"/>
      <c r="B99" s="3"/>
      <c r="C99" s="3"/>
      <c r="D99" s="3"/>
      <c r="E99" s="3"/>
      <c r="F99" s="3"/>
      <c r="G99" s="3"/>
      <c r="H99" s="3"/>
      <c r="I99" s="35"/>
    </row>
    <row r="100" spans="1:9" ht="15.75" customHeight="1" x14ac:dyDescent="0.3">
      <c r="A100" s="69" t="s">
        <v>361</v>
      </c>
      <c r="B100" s="57"/>
      <c r="C100" s="57"/>
      <c r="D100" s="57"/>
      <c r="E100" s="57"/>
      <c r="F100" s="57"/>
      <c r="G100" s="57"/>
      <c r="H100" s="57"/>
      <c r="I100" s="58"/>
    </row>
    <row r="101" spans="1:9" x14ac:dyDescent="0.3">
      <c r="A101" s="99" t="s">
        <v>551</v>
      </c>
      <c r="B101" s="57"/>
      <c r="C101" s="57"/>
      <c r="D101" s="57"/>
      <c r="E101" s="57"/>
      <c r="F101" s="57"/>
      <c r="G101" s="57"/>
      <c r="H101" s="57"/>
      <c r="I101" s="58"/>
    </row>
    <row r="102" spans="1:9" x14ac:dyDescent="0.3">
      <c r="A102" s="99" t="s">
        <v>552</v>
      </c>
      <c r="B102" s="57"/>
      <c r="C102" s="57"/>
      <c r="D102" s="57"/>
      <c r="E102" s="57"/>
      <c r="F102" s="57"/>
      <c r="G102" s="57"/>
      <c r="H102" s="57"/>
      <c r="I102" s="58"/>
    </row>
    <row r="103" spans="1:9" x14ac:dyDescent="0.3">
      <c r="A103" s="99" t="s">
        <v>553</v>
      </c>
      <c r="B103" s="57"/>
      <c r="C103" s="57"/>
      <c r="D103" s="57"/>
      <c r="E103" s="57"/>
      <c r="F103" s="57"/>
      <c r="G103" s="57"/>
      <c r="H103" s="57"/>
      <c r="I103" s="58"/>
    </row>
    <row r="104" spans="1:9" x14ac:dyDescent="0.3">
      <c r="A104" s="99" t="s">
        <v>554</v>
      </c>
      <c r="B104" s="57"/>
      <c r="C104" s="57"/>
      <c r="D104" s="57"/>
      <c r="E104" s="57"/>
      <c r="F104" s="57"/>
      <c r="G104" s="57"/>
      <c r="H104" s="57"/>
      <c r="I104" s="58"/>
    </row>
    <row r="105" spans="1:9" x14ac:dyDescent="0.3">
      <c r="A105" s="99" t="s">
        <v>555</v>
      </c>
      <c r="B105" s="57"/>
      <c r="C105" s="57"/>
      <c r="D105" s="57"/>
      <c r="E105" s="57"/>
      <c r="F105" s="57"/>
      <c r="G105" s="57"/>
      <c r="H105" s="57"/>
      <c r="I105" s="58"/>
    </row>
    <row r="106" spans="1:9" x14ac:dyDescent="0.3">
      <c r="A106" s="99" t="s">
        <v>556</v>
      </c>
      <c r="B106" s="57"/>
      <c r="C106" s="57"/>
      <c r="D106" s="57"/>
      <c r="E106" s="57"/>
      <c r="F106" s="57"/>
      <c r="G106" s="57"/>
      <c r="H106" s="57"/>
      <c r="I106" s="58"/>
    </row>
    <row r="107" spans="1:9" x14ac:dyDescent="0.3">
      <c r="A107" s="99" t="s">
        <v>557</v>
      </c>
      <c r="B107" s="57"/>
      <c r="C107" s="57"/>
      <c r="D107" s="57"/>
      <c r="E107" s="57"/>
      <c r="F107" s="57"/>
      <c r="G107" s="57"/>
      <c r="H107" s="57"/>
      <c r="I107" s="58"/>
    </row>
    <row r="108" spans="1:9" x14ac:dyDescent="0.3">
      <c r="A108" s="99" t="s">
        <v>558</v>
      </c>
      <c r="B108" s="57"/>
      <c r="C108" s="57"/>
      <c r="D108" s="57"/>
      <c r="E108" s="57"/>
      <c r="F108" s="57"/>
      <c r="G108" s="57"/>
      <c r="H108" s="57"/>
      <c r="I108" s="58"/>
    </row>
    <row r="109" spans="1:9" x14ac:dyDescent="0.3">
      <c r="A109" s="34"/>
      <c r="B109" s="3"/>
      <c r="C109" s="3"/>
      <c r="D109" s="3"/>
      <c r="E109" s="3"/>
      <c r="F109" s="3"/>
      <c r="G109" s="3"/>
      <c r="H109" s="3"/>
      <c r="I109" s="35"/>
    </row>
    <row r="110" spans="1:9" ht="15.75" customHeight="1" x14ac:dyDescent="0.3">
      <c r="A110" s="56" t="s">
        <v>185</v>
      </c>
      <c r="B110" s="57"/>
      <c r="C110" s="57"/>
      <c r="D110" s="57"/>
      <c r="E110" s="57"/>
      <c r="F110" s="57"/>
      <c r="G110" s="57"/>
      <c r="H110" s="57"/>
      <c r="I110" s="58"/>
    </row>
    <row r="111" spans="1:9" ht="24" customHeight="1" x14ac:dyDescent="0.3">
      <c r="A111" s="20" t="s">
        <v>21</v>
      </c>
      <c r="B111" s="4" t="s">
        <v>22</v>
      </c>
      <c r="C111" s="4" t="s">
        <v>23</v>
      </c>
      <c r="D111" s="4" t="s">
        <v>24</v>
      </c>
      <c r="E111" s="4" t="s">
        <v>10</v>
      </c>
      <c r="F111" s="4" t="s">
        <v>11</v>
      </c>
      <c r="G111" s="4" t="s">
        <v>12</v>
      </c>
      <c r="H111" s="4" t="s">
        <v>13</v>
      </c>
      <c r="I111" s="21" t="s">
        <v>14</v>
      </c>
    </row>
    <row r="112" spans="1:9" ht="19.5" customHeight="1" x14ac:dyDescent="0.3">
      <c r="A112" s="25" t="s">
        <v>186</v>
      </c>
      <c r="B112" s="8" t="s">
        <v>187</v>
      </c>
      <c r="C112" s="8" t="s">
        <v>188</v>
      </c>
      <c r="D112" s="8" t="s">
        <v>189</v>
      </c>
      <c r="E112" s="9"/>
      <c r="F112" s="9"/>
      <c r="G112" s="9"/>
      <c r="H112" s="9"/>
      <c r="I112" s="26"/>
    </row>
    <row r="113" spans="1:9" x14ac:dyDescent="0.3">
      <c r="A113" s="34"/>
      <c r="B113" s="3"/>
      <c r="C113" s="3"/>
      <c r="D113" s="3"/>
      <c r="E113" s="3"/>
      <c r="F113" s="3"/>
      <c r="G113" s="3"/>
      <c r="H113" s="3"/>
      <c r="I113" s="35"/>
    </row>
    <row r="114" spans="1:9" ht="15.75" customHeight="1" x14ac:dyDescent="0.3">
      <c r="A114" s="68" t="s">
        <v>190</v>
      </c>
      <c r="B114" s="57"/>
      <c r="C114" s="57"/>
      <c r="D114" s="57"/>
      <c r="E114" s="57"/>
      <c r="F114" s="57"/>
      <c r="G114" s="57"/>
      <c r="H114" s="57"/>
      <c r="I114" s="58"/>
    </row>
    <row r="115" spans="1:9" x14ac:dyDescent="0.3">
      <c r="A115" s="98" t="s">
        <v>191</v>
      </c>
      <c r="B115" s="57"/>
      <c r="C115" s="57"/>
      <c r="D115" s="58"/>
      <c r="E115" s="10" t="s">
        <v>10</v>
      </c>
      <c r="F115" s="10" t="s">
        <v>11</v>
      </c>
      <c r="G115" s="10" t="s">
        <v>12</v>
      </c>
      <c r="H115" s="10" t="s">
        <v>13</v>
      </c>
      <c r="I115" s="27" t="s">
        <v>14</v>
      </c>
    </row>
    <row r="116" spans="1:9" x14ac:dyDescent="0.3">
      <c r="A116" s="97" t="s">
        <v>192</v>
      </c>
      <c r="B116" s="57"/>
      <c r="C116" s="57"/>
      <c r="D116" s="58"/>
      <c r="E116" s="11" t="str">
        <f>IFERROR(AVERAGE(E20:E27,E35:E39,E46:E52,E61:E68,E75:E83,E92:E96),"")</f>
        <v/>
      </c>
      <c r="F116" s="11" t="str">
        <f>IFERROR(AVERAGE(F20:F27,F35:F39,F46:F52,F61:F68,F75:F83,F92:F96),"")</f>
        <v/>
      </c>
      <c r="G116" s="11" t="str">
        <f>IFERROR(AVERAGE(G20:G27,G35:G39,G46:G52,G61:G68,G75:G83,G92:G96),"")</f>
        <v/>
      </c>
      <c r="H116" s="11" t="str">
        <f>IFERROR(AVERAGE(H20:H27,H35:H39,H46:H52,H61:H68,H75:H83,H92:H96),"")</f>
        <v/>
      </c>
      <c r="I116" s="28" t="str">
        <f>IFERROR(AVERAGE(I20:I27,I35:I39,I46:I52,I61:I68,I75:I83,I92:I96),"")</f>
        <v/>
      </c>
    </row>
    <row r="117" spans="1:9" x14ac:dyDescent="0.3">
      <c r="A117" s="97" t="s">
        <v>193</v>
      </c>
      <c r="B117" s="57"/>
      <c r="C117" s="57"/>
      <c r="D117" s="58"/>
      <c r="E117" s="11">
        <f>IFERROR(E112,"")</f>
        <v>0</v>
      </c>
      <c r="F117" s="11">
        <f>IFERROR(F112,"")</f>
        <v>0</v>
      </c>
      <c r="G117" s="11">
        <f>IFERROR(G112,"")</f>
        <v>0</v>
      </c>
      <c r="H117" s="11">
        <f>IFERROR(H112,"")</f>
        <v>0</v>
      </c>
      <c r="I117" s="28">
        <f>IFERROR(I112,"")</f>
        <v>0</v>
      </c>
    </row>
    <row r="118" spans="1:9" x14ac:dyDescent="0.3">
      <c r="A118" s="97" t="s">
        <v>194</v>
      </c>
      <c r="B118" s="57"/>
      <c r="C118" s="57"/>
      <c r="D118" s="58"/>
      <c r="E118" s="7">
        <f>IFERROR(AVERAGE(E116,E117),"")</f>
        <v>0</v>
      </c>
      <c r="F118" s="7">
        <f>IFERROR(AVERAGE(F116,F117),"")</f>
        <v>0</v>
      </c>
      <c r="G118" s="7">
        <f>IFERROR(AVERAGE(G116,G117),"")</f>
        <v>0</v>
      </c>
      <c r="H118" s="7">
        <f>IFERROR(AVERAGE(H116,H117),"")</f>
        <v>0</v>
      </c>
      <c r="I118" s="24">
        <f>IFERROR(AVERAGE(I116,I117),"")</f>
        <v>0</v>
      </c>
    </row>
    <row r="119" spans="1:9" x14ac:dyDescent="0.3">
      <c r="A119" s="96" t="s">
        <v>195</v>
      </c>
      <c r="B119" s="57"/>
      <c r="C119" s="57"/>
      <c r="D119" s="58"/>
      <c r="E119" s="12">
        <f>IFERROR(ABS(E118-3),"")</f>
        <v>3</v>
      </c>
      <c r="F119" s="12">
        <f>IFERROR(ABS(F118-3),"")</f>
        <v>3</v>
      </c>
      <c r="G119" s="12">
        <f>IFERROR(ABS(G118-3),"")</f>
        <v>3</v>
      </c>
      <c r="H119" s="12">
        <f>IFERROR(ABS(H118-3),"")</f>
        <v>3</v>
      </c>
      <c r="I119" s="29">
        <f>IFERROR(ABS(I118-3),"")</f>
        <v>3</v>
      </c>
    </row>
    <row r="120" spans="1:9" x14ac:dyDescent="0.3">
      <c r="A120" s="97" t="s">
        <v>196</v>
      </c>
      <c r="B120" s="57"/>
      <c r="C120" s="57"/>
      <c r="D120" s="58"/>
      <c r="E120" s="10">
        <f>IFERROR(RANK(E119,$E$119:$I$119,1),"")</f>
        <v>1</v>
      </c>
      <c r="F120" s="10">
        <f>IFERROR(RANK(F119,$E$119:$I$119,1),"")</f>
        <v>1</v>
      </c>
      <c r="G120" s="10">
        <f>IFERROR(RANK(G119,$E$119:$I$119,1),"")</f>
        <v>1</v>
      </c>
      <c r="H120" s="10">
        <f>IFERROR(RANK(H119,$E$119:$I$119,1),"")</f>
        <v>1</v>
      </c>
      <c r="I120" s="27">
        <f>IFERROR(RANK(I119,$E$119:$I$119,1),"")</f>
        <v>1</v>
      </c>
    </row>
    <row r="121" spans="1:9" x14ac:dyDescent="0.3">
      <c r="A121" s="34"/>
      <c r="B121" s="3"/>
      <c r="C121" s="3"/>
      <c r="D121" s="3"/>
      <c r="E121" s="3"/>
      <c r="F121" s="3"/>
      <c r="G121" s="3"/>
      <c r="H121" s="3"/>
      <c r="I121" s="35"/>
    </row>
    <row r="122" spans="1:9" x14ac:dyDescent="0.3">
      <c r="A122" s="69" t="s">
        <v>197</v>
      </c>
      <c r="B122" s="57"/>
      <c r="C122" s="57"/>
      <c r="D122" s="57"/>
      <c r="E122" s="57"/>
      <c r="F122" s="57"/>
      <c r="G122" s="57"/>
      <c r="H122" s="57"/>
      <c r="I122" s="58"/>
    </row>
    <row r="123" spans="1:9" ht="18" customHeight="1" x14ac:dyDescent="0.3">
      <c r="A123" s="36" t="s">
        <v>198</v>
      </c>
      <c r="B123" s="62"/>
      <c r="C123" s="57"/>
      <c r="D123" s="57"/>
      <c r="E123" s="57"/>
      <c r="F123" s="57"/>
      <c r="G123" s="57"/>
      <c r="H123" s="57"/>
      <c r="I123" s="58"/>
    </row>
    <row r="124" spans="1:9" ht="18" customHeight="1" x14ac:dyDescent="0.3">
      <c r="A124" s="36" t="s">
        <v>199</v>
      </c>
      <c r="B124" s="62"/>
      <c r="C124" s="57"/>
      <c r="D124" s="57"/>
      <c r="E124" s="57"/>
      <c r="F124" s="57"/>
      <c r="G124" s="57"/>
      <c r="H124" s="57"/>
      <c r="I124" s="58"/>
    </row>
    <row r="125" spans="1:9" ht="18" customHeight="1" x14ac:dyDescent="0.3">
      <c r="A125" s="36" t="s">
        <v>200</v>
      </c>
      <c r="B125" s="62"/>
      <c r="C125" s="57"/>
      <c r="D125" s="57"/>
      <c r="E125" s="57"/>
      <c r="F125" s="57"/>
      <c r="G125" s="57"/>
      <c r="H125" s="57"/>
      <c r="I125" s="58"/>
    </row>
    <row r="126" spans="1:9" ht="18" customHeight="1" x14ac:dyDescent="0.3">
      <c r="A126" s="36" t="s">
        <v>201</v>
      </c>
      <c r="B126" s="62"/>
      <c r="C126" s="57"/>
      <c r="D126" s="57"/>
      <c r="E126" s="57"/>
      <c r="F126" s="57"/>
      <c r="G126" s="57"/>
      <c r="H126" s="57"/>
      <c r="I126" s="58"/>
    </row>
    <row r="127" spans="1:9" ht="18" customHeight="1" x14ac:dyDescent="0.3">
      <c r="A127" s="36" t="s">
        <v>202</v>
      </c>
      <c r="B127" s="62"/>
      <c r="C127" s="57"/>
      <c r="D127" s="57"/>
      <c r="E127" s="57"/>
      <c r="F127" s="57"/>
      <c r="G127" s="57"/>
      <c r="H127" s="57"/>
      <c r="I127" s="58"/>
    </row>
    <row r="128" spans="1:9" x14ac:dyDescent="0.3">
      <c r="A128" s="34"/>
      <c r="B128" s="3"/>
      <c r="C128" s="3"/>
      <c r="D128" s="3"/>
      <c r="E128" s="3"/>
      <c r="F128" s="3"/>
      <c r="G128" s="3"/>
      <c r="H128" s="3"/>
      <c r="I128" s="35"/>
    </row>
    <row r="129" spans="1:9" ht="15" customHeight="1" thickBot="1" x14ac:dyDescent="0.35">
      <c r="A129" s="41" t="s">
        <v>203</v>
      </c>
      <c r="B129" s="53"/>
      <c r="C129" s="55"/>
      <c r="D129" s="42" t="s">
        <v>204</v>
      </c>
      <c r="E129" s="53"/>
      <c r="F129" s="54"/>
      <c r="G129" s="54"/>
      <c r="H129" s="55"/>
      <c r="I129" s="43" t="s">
        <v>4</v>
      </c>
    </row>
  </sheetData>
  <mergeCells count="69">
    <mergeCell ref="B129:C129"/>
    <mergeCell ref="A41:I41"/>
    <mergeCell ref="A90:I90"/>
    <mergeCell ref="A54:I54"/>
    <mergeCell ref="E129:H129"/>
    <mergeCell ref="B127:I127"/>
    <mergeCell ref="B124:I124"/>
    <mergeCell ref="B126:I126"/>
    <mergeCell ref="A97:D97"/>
    <mergeCell ref="A108:I108"/>
    <mergeCell ref="B125:I125"/>
    <mergeCell ref="A18:I18"/>
    <mergeCell ref="A56:I56"/>
    <mergeCell ref="A115:D115"/>
    <mergeCell ref="A117:D117"/>
    <mergeCell ref="A106:I106"/>
    <mergeCell ref="A122:I122"/>
    <mergeCell ref="A119:D119"/>
    <mergeCell ref="A114:I114"/>
    <mergeCell ref="A98:I98"/>
    <mergeCell ref="A73:I73"/>
    <mergeCell ref="A118:D118"/>
    <mergeCell ref="A116:D116"/>
    <mergeCell ref="A3:I3"/>
    <mergeCell ref="A105:I105"/>
    <mergeCell ref="A55:I55"/>
    <mergeCell ref="A10:D10"/>
    <mergeCell ref="A28:D28"/>
    <mergeCell ref="A101:I101"/>
    <mergeCell ref="A13:D13"/>
    <mergeCell ref="A86:I86"/>
    <mergeCell ref="A104:I104"/>
    <mergeCell ref="A40:D40"/>
    <mergeCell ref="A57:I57"/>
    <mergeCell ref="A85:I85"/>
    <mergeCell ref="A100:I100"/>
    <mergeCell ref="A102:I102"/>
    <mergeCell ref="A84:D84"/>
    <mergeCell ref="B6:C6"/>
    <mergeCell ref="A69:D69"/>
    <mergeCell ref="D5:I5"/>
    <mergeCell ref="A44:I44"/>
    <mergeCell ref="A9:I9"/>
    <mergeCell ref="A31:I31"/>
    <mergeCell ref="A30:I30"/>
    <mergeCell ref="A59:I59"/>
    <mergeCell ref="B7:C7"/>
    <mergeCell ref="A53:D53"/>
    <mergeCell ref="A42:I42"/>
    <mergeCell ref="A16:I16"/>
    <mergeCell ref="A11:D11"/>
    <mergeCell ref="A29:I29"/>
    <mergeCell ref="E6:I6"/>
    <mergeCell ref="A1:I1"/>
    <mergeCell ref="A88:I88"/>
    <mergeCell ref="A70:I70"/>
    <mergeCell ref="A110:I110"/>
    <mergeCell ref="B123:I123"/>
    <mergeCell ref="A87:I87"/>
    <mergeCell ref="A14:D14"/>
    <mergeCell ref="E7:I7"/>
    <mergeCell ref="A107:I107"/>
    <mergeCell ref="A120:D120"/>
    <mergeCell ref="A103:I103"/>
    <mergeCell ref="A12:D12"/>
    <mergeCell ref="A2:I2"/>
    <mergeCell ref="A33:I33"/>
    <mergeCell ref="A71:I71"/>
    <mergeCell ref="A5:C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3"/>
  <sheetViews>
    <sheetView showGridLines="0" zoomScaleNormal="100" workbookViewId="0">
      <selection activeCell="A9" sqref="A9:I9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559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560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561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562</v>
      </c>
      <c r="B20" s="5" t="s">
        <v>563</v>
      </c>
      <c r="C20" s="5" t="s">
        <v>211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29</v>
      </c>
      <c r="B21" s="5" t="s">
        <v>30</v>
      </c>
      <c r="C21" s="5" t="s">
        <v>31</v>
      </c>
      <c r="D21" s="5" t="s">
        <v>32</v>
      </c>
      <c r="E21" s="6"/>
      <c r="F21" s="6"/>
      <c r="G21" s="6"/>
      <c r="H21" s="6"/>
      <c r="I21" s="23"/>
    </row>
    <row r="22" spans="1:9" ht="30" customHeight="1" x14ac:dyDescent="0.3">
      <c r="A22" s="22" t="s">
        <v>564</v>
      </c>
      <c r="B22" s="5" t="s">
        <v>565</v>
      </c>
      <c r="C22" s="5" t="s">
        <v>566</v>
      </c>
      <c r="D22" s="5" t="s">
        <v>567</v>
      </c>
      <c r="E22" s="6"/>
      <c r="F22" s="6"/>
      <c r="G22" s="6"/>
      <c r="H22" s="6"/>
      <c r="I22" s="23"/>
    </row>
    <row r="23" spans="1:9" ht="30" customHeight="1" x14ac:dyDescent="0.3">
      <c r="A23" s="22" t="s">
        <v>568</v>
      </c>
      <c r="B23" s="5" t="s">
        <v>569</v>
      </c>
      <c r="C23" s="5" t="s">
        <v>570</v>
      </c>
      <c r="D23" s="5" t="s">
        <v>571</v>
      </c>
      <c r="E23" s="6"/>
      <c r="F23" s="6"/>
      <c r="G23" s="6"/>
      <c r="H23" s="6"/>
      <c r="I23" s="23"/>
    </row>
    <row r="24" spans="1:9" ht="30" customHeight="1" x14ac:dyDescent="0.3">
      <c r="A24" s="22" t="s">
        <v>41</v>
      </c>
      <c r="B24" s="5" t="s">
        <v>236</v>
      </c>
      <c r="C24" s="5" t="s">
        <v>572</v>
      </c>
      <c r="D24" s="5" t="s">
        <v>44</v>
      </c>
      <c r="E24" s="6"/>
      <c r="F24" s="6"/>
      <c r="G24" s="6"/>
      <c r="H24" s="6"/>
      <c r="I24" s="23"/>
    </row>
    <row r="25" spans="1:9" ht="30" customHeight="1" x14ac:dyDescent="0.3">
      <c r="A25" s="22" t="s">
        <v>573</v>
      </c>
      <c r="B25" s="5" t="s">
        <v>574</v>
      </c>
      <c r="C25" s="5" t="s">
        <v>51</v>
      </c>
      <c r="D25" s="5" t="s">
        <v>575</v>
      </c>
      <c r="E25" s="6"/>
      <c r="F25" s="6"/>
      <c r="G25" s="6"/>
      <c r="H25" s="6"/>
      <c r="I25" s="23"/>
    </row>
    <row r="26" spans="1:9" ht="30" customHeight="1" x14ac:dyDescent="0.3">
      <c r="A26" s="22" t="s">
        <v>45</v>
      </c>
      <c r="B26" s="5" t="s">
        <v>46</v>
      </c>
      <c r="C26" s="5" t="s">
        <v>47</v>
      </c>
      <c r="D26" s="5" t="s">
        <v>48</v>
      </c>
      <c r="E26" s="6"/>
      <c r="F26" s="6"/>
      <c r="G26" s="6"/>
      <c r="H26" s="6"/>
      <c r="I26" s="23"/>
    </row>
    <row r="27" spans="1:9" x14ac:dyDescent="0.3">
      <c r="A27" s="97" t="s">
        <v>53</v>
      </c>
      <c r="B27" s="57"/>
      <c r="C27" s="57"/>
      <c r="D27" s="58"/>
      <c r="E27" s="7" t="str">
        <f>IFERROR(AVERAGE(E20:E26),"")</f>
        <v/>
      </c>
      <c r="F27" s="7" t="str">
        <f>IFERROR(AVERAGE(F20:F26),"")</f>
        <v/>
      </c>
      <c r="G27" s="7" t="str">
        <f>IFERROR(AVERAGE(G20:G26),"")</f>
        <v/>
      </c>
      <c r="H27" s="7" t="str">
        <f>IFERROR(AVERAGE(H20:H26),"")</f>
        <v/>
      </c>
      <c r="I27" s="24" t="str">
        <f>IFERROR(AVERAGE(I20:I26),"")</f>
        <v/>
      </c>
    </row>
    <row r="28" spans="1:9" x14ac:dyDescent="0.3">
      <c r="A28" s="34"/>
      <c r="B28" s="3"/>
      <c r="C28" s="3"/>
      <c r="D28" s="3"/>
      <c r="E28" s="3"/>
      <c r="F28" s="3"/>
      <c r="G28" s="3"/>
      <c r="H28" s="3"/>
      <c r="I28" s="35"/>
    </row>
    <row r="29" spans="1:9" ht="15.75" customHeight="1" x14ac:dyDescent="0.3">
      <c r="A29" s="56" t="s">
        <v>576</v>
      </c>
      <c r="B29" s="57"/>
      <c r="C29" s="57"/>
      <c r="D29" s="57"/>
      <c r="E29" s="57"/>
      <c r="F29" s="57"/>
      <c r="G29" s="57"/>
      <c r="H29" s="57"/>
      <c r="I29" s="58"/>
    </row>
    <row r="30" spans="1:9" ht="24" customHeight="1" x14ac:dyDescent="0.3">
      <c r="A30" s="20" t="s">
        <v>21</v>
      </c>
      <c r="B30" s="4" t="s">
        <v>22</v>
      </c>
      <c r="C30" s="4" t="s">
        <v>23</v>
      </c>
      <c r="D30" s="4" t="s">
        <v>24</v>
      </c>
      <c r="E30" s="4" t="s">
        <v>10</v>
      </c>
      <c r="F30" s="4" t="s">
        <v>11</v>
      </c>
      <c r="G30" s="4" t="s">
        <v>12</v>
      </c>
      <c r="H30" s="4" t="s">
        <v>13</v>
      </c>
      <c r="I30" s="21" t="s">
        <v>14</v>
      </c>
    </row>
    <row r="31" spans="1:9" ht="30" customHeight="1" x14ac:dyDescent="0.3">
      <c r="A31" s="22" t="s">
        <v>577</v>
      </c>
      <c r="B31" s="5" t="s">
        <v>578</v>
      </c>
      <c r="C31" s="5" t="s">
        <v>579</v>
      </c>
      <c r="D31" s="5" t="s">
        <v>580</v>
      </c>
      <c r="E31" s="6"/>
      <c r="F31" s="6"/>
      <c r="G31" s="6"/>
      <c r="H31" s="6"/>
      <c r="I31" s="23"/>
    </row>
    <row r="32" spans="1:9" ht="30" customHeight="1" x14ac:dyDescent="0.3">
      <c r="A32" s="22" t="s">
        <v>581</v>
      </c>
      <c r="B32" s="5" t="s">
        <v>582</v>
      </c>
      <c r="C32" s="5" t="s">
        <v>384</v>
      </c>
      <c r="D32" s="5" t="s">
        <v>385</v>
      </c>
      <c r="E32" s="6"/>
      <c r="F32" s="6"/>
      <c r="G32" s="6"/>
      <c r="H32" s="6"/>
      <c r="I32" s="23"/>
    </row>
    <row r="33" spans="1:9" ht="30" customHeight="1" x14ac:dyDescent="0.3">
      <c r="A33" s="22" t="s">
        <v>583</v>
      </c>
      <c r="B33" s="5" t="s">
        <v>501</v>
      </c>
      <c r="C33" s="5" t="s">
        <v>394</v>
      </c>
      <c r="D33" s="5" t="s">
        <v>503</v>
      </c>
      <c r="E33" s="6"/>
      <c r="F33" s="6"/>
      <c r="G33" s="6"/>
      <c r="H33" s="6"/>
      <c r="I33" s="23"/>
    </row>
    <row r="34" spans="1:9" ht="30" customHeight="1" x14ac:dyDescent="0.3">
      <c r="A34" s="22" t="s">
        <v>584</v>
      </c>
      <c r="B34" s="5" t="s">
        <v>416</v>
      </c>
      <c r="C34" s="5" t="s">
        <v>585</v>
      </c>
      <c r="D34" s="5" t="s">
        <v>586</v>
      </c>
      <c r="E34" s="6"/>
      <c r="F34" s="6"/>
      <c r="G34" s="6"/>
      <c r="H34" s="6"/>
      <c r="I34" s="23"/>
    </row>
    <row r="35" spans="1:9" ht="30" customHeight="1" x14ac:dyDescent="0.3">
      <c r="A35" s="22" t="s">
        <v>587</v>
      </c>
      <c r="B35" s="5" t="s">
        <v>588</v>
      </c>
      <c r="C35" s="5" t="s">
        <v>78</v>
      </c>
      <c r="D35" s="5" t="s">
        <v>589</v>
      </c>
      <c r="E35" s="6"/>
      <c r="F35" s="6"/>
      <c r="G35" s="6"/>
      <c r="H35" s="6"/>
      <c r="I35" s="23"/>
    </row>
    <row r="36" spans="1:9" x14ac:dyDescent="0.3">
      <c r="A36" s="97" t="s">
        <v>80</v>
      </c>
      <c r="B36" s="57"/>
      <c r="C36" s="57"/>
      <c r="D36" s="58"/>
      <c r="E36" s="7" t="str">
        <f>IFERROR(AVERAGE(E31:E35),"")</f>
        <v/>
      </c>
      <c r="F36" s="7" t="str">
        <f>IFERROR(AVERAGE(F31:F35),"")</f>
        <v/>
      </c>
      <c r="G36" s="7" t="str">
        <f>IFERROR(AVERAGE(G31:G35),"")</f>
        <v/>
      </c>
      <c r="H36" s="7" t="str">
        <f>IFERROR(AVERAGE(H31:H35),"")</f>
        <v/>
      </c>
      <c r="I36" s="24" t="str">
        <f>IFERROR(AVERAGE(I31:I35),"")</f>
        <v/>
      </c>
    </row>
    <row r="37" spans="1:9" x14ac:dyDescent="0.3">
      <c r="A37" s="34"/>
      <c r="B37" s="3"/>
      <c r="C37" s="3"/>
      <c r="D37" s="3"/>
      <c r="E37" s="3"/>
      <c r="F37" s="3"/>
      <c r="G37" s="3"/>
      <c r="H37" s="3"/>
      <c r="I37" s="35"/>
    </row>
    <row r="38" spans="1:9" ht="15.75" customHeight="1" x14ac:dyDescent="0.3">
      <c r="A38" s="56" t="s">
        <v>590</v>
      </c>
      <c r="B38" s="57"/>
      <c r="C38" s="57"/>
      <c r="D38" s="57"/>
      <c r="E38" s="57"/>
      <c r="F38" s="57"/>
      <c r="G38" s="57"/>
      <c r="H38" s="57"/>
      <c r="I38" s="58"/>
    </row>
    <row r="39" spans="1:9" ht="24" customHeight="1" x14ac:dyDescent="0.3">
      <c r="A39" s="20" t="s">
        <v>21</v>
      </c>
      <c r="B39" s="4" t="s">
        <v>22</v>
      </c>
      <c r="C39" s="4" t="s">
        <v>23</v>
      </c>
      <c r="D39" s="4" t="s">
        <v>24</v>
      </c>
      <c r="E39" s="4" t="s">
        <v>10</v>
      </c>
      <c r="F39" s="4" t="s">
        <v>11</v>
      </c>
      <c r="G39" s="4" t="s">
        <v>12</v>
      </c>
      <c r="H39" s="4" t="s">
        <v>13</v>
      </c>
      <c r="I39" s="21" t="s">
        <v>14</v>
      </c>
    </row>
    <row r="40" spans="1:9" ht="30" customHeight="1" x14ac:dyDescent="0.3">
      <c r="A40" s="22" t="s">
        <v>591</v>
      </c>
      <c r="B40" s="5" t="s">
        <v>592</v>
      </c>
      <c r="C40" s="5" t="s">
        <v>593</v>
      </c>
      <c r="D40" s="5" t="s">
        <v>594</v>
      </c>
      <c r="E40" s="6"/>
      <c r="F40" s="6"/>
      <c r="G40" s="6"/>
      <c r="H40" s="6"/>
      <c r="I40" s="23"/>
    </row>
    <row r="41" spans="1:9" ht="30" customHeight="1" x14ac:dyDescent="0.3">
      <c r="A41" s="22" t="s">
        <v>595</v>
      </c>
      <c r="B41" s="5" t="s">
        <v>596</v>
      </c>
      <c r="C41" s="5" t="s">
        <v>469</v>
      </c>
      <c r="D41" s="5" t="s">
        <v>266</v>
      </c>
      <c r="E41" s="6"/>
      <c r="F41" s="6"/>
      <c r="G41" s="6"/>
      <c r="H41" s="6"/>
      <c r="I41" s="23"/>
    </row>
    <row r="42" spans="1:9" ht="30" customHeight="1" x14ac:dyDescent="0.3">
      <c r="A42" s="22" t="s">
        <v>597</v>
      </c>
      <c r="B42" s="5" t="s">
        <v>598</v>
      </c>
      <c r="C42" s="5" t="s">
        <v>599</v>
      </c>
      <c r="D42" s="5" t="s">
        <v>600</v>
      </c>
      <c r="E42" s="6"/>
      <c r="F42" s="6"/>
      <c r="G42" s="6"/>
      <c r="H42" s="6"/>
      <c r="I42" s="23"/>
    </row>
    <row r="43" spans="1:9" ht="30" customHeight="1" x14ac:dyDescent="0.3">
      <c r="A43" s="22" t="s">
        <v>601</v>
      </c>
      <c r="B43" s="5" t="s">
        <v>61</v>
      </c>
      <c r="C43" s="5" t="s">
        <v>602</v>
      </c>
      <c r="D43" s="5" t="s">
        <v>515</v>
      </c>
      <c r="E43" s="6"/>
      <c r="F43" s="6"/>
      <c r="G43" s="6"/>
      <c r="H43" s="6"/>
      <c r="I43" s="23"/>
    </row>
    <row r="44" spans="1:9" x14ac:dyDescent="0.3">
      <c r="A44" s="97" t="s">
        <v>108</v>
      </c>
      <c r="B44" s="57"/>
      <c r="C44" s="57"/>
      <c r="D44" s="58"/>
      <c r="E44" s="7" t="str">
        <f>IFERROR(AVERAGE(E40:E43),"")</f>
        <v/>
      </c>
      <c r="F44" s="7" t="str">
        <f>IFERROR(AVERAGE(F40:F43),"")</f>
        <v/>
      </c>
      <c r="G44" s="7" t="str">
        <f>IFERROR(AVERAGE(G40:G43),"")</f>
        <v/>
      </c>
      <c r="H44" s="7" t="str">
        <f>IFERROR(AVERAGE(H40:H43),"")</f>
        <v/>
      </c>
      <c r="I44" s="24" t="str">
        <f>IFERROR(AVERAGE(I40:I43),"")</f>
        <v/>
      </c>
    </row>
    <row r="45" spans="1:9" x14ac:dyDescent="0.3">
      <c r="A45" s="34"/>
      <c r="B45" s="3"/>
      <c r="C45" s="3"/>
      <c r="D45" s="3"/>
      <c r="E45" s="3"/>
      <c r="F45" s="3"/>
      <c r="G45" s="3"/>
      <c r="H45" s="3"/>
      <c r="I45" s="35"/>
    </row>
    <row r="46" spans="1:9" ht="15.75" customHeight="1" x14ac:dyDescent="0.3">
      <c r="A46" s="56" t="s">
        <v>603</v>
      </c>
      <c r="B46" s="57"/>
      <c r="C46" s="57"/>
      <c r="D46" s="57"/>
      <c r="E46" s="57"/>
      <c r="F46" s="57"/>
      <c r="G46" s="57"/>
      <c r="H46" s="57"/>
      <c r="I46" s="58"/>
    </row>
    <row r="47" spans="1:9" ht="24" customHeight="1" x14ac:dyDescent="0.3">
      <c r="A47" s="20" t="s">
        <v>21</v>
      </c>
      <c r="B47" s="4" t="s">
        <v>22</v>
      </c>
      <c r="C47" s="4" t="s">
        <v>23</v>
      </c>
      <c r="D47" s="4" t="s">
        <v>24</v>
      </c>
      <c r="E47" s="4" t="s">
        <v>10</v>
      </c>
      <c r="F47" s="4" t="s">
        <v>11</v>
      </c>
      <c r="G47" s="4" t="s">
        <v>12</v>
      </c>
      <c r="H47" s="4" t="s">
        <v>13</v>
      </c>
      <c r="I47" s="21" t="s">
        <v>14</v>
      </c>
    </row>
    <row r="48" spans="1:9" ht="30" customHeight="1" x14ac:dyDescent="0.3">
      <c r="A48" s="22" t="s">
        <v>604</v>
      </c>
      <c r="B48" s="5" t="s">
        <v>605</v>
      </c>
      <c r="C48" s="5" t="s">
        <v>606</v>
      </c>
      <c r="D48" s="5" t="s">
        <v>607</v>
      </c>
      <c r="E48" s="6"/>
      <c r="F48" s="6"/>
      <c r="G48" s="6"/>
      <c r="H48" s="6"/>
      <c r="I48" s="23"/>
    </row>
    <row r="49" spans="1:9" ht="30" customHeight="1" x14ac:dyDescent="0.3">
      <c r="A49" s="22" t="s">
        <v>608</v>
      </c>
      <c r="B49" s="5" t="s">
        <v>609</v>
      </c>
      <c r="C49" s="5" t="s">
        <v>78</v>
      </c>
      <c r="D49" s="5" t="s">
        <v>610</v>
      </c>
      <c r="E49" s="6"/>
      <c r="F49" s="6"/>
      <c r="G49" s="6"/>
      <c r="H49" s="6"/>
      <c r="I49" s="23"/>
    </row>
    <row r="50" spans="1:9" ht="30" customHeight="1" x14ac:dyDescent="0.3">
      <c r="A50" s="22" t="s">
        <v>91</v>
      </c>
      <c r="B50" s="5" t="s">
        <v>92</v>
      </c>
      <c r="C50" s="5" t="s">
        <v>313</v>
      </c>
      <c r="D50" s="5" t="s">
        <v>94</v>
      </c>
      <c r="E50" s="6"/>
      <c r="F50" s="6"/>
      <c r="G50" s="6"/>
      <c r="H50" s="6"/>
      <c r="I50" s="23"/>
    </row>
    <row r="51" spans="1:9" ht="30" customHeight="1" x14ac:dyDescent="0.3">
      <c r="A51" s="22" t="s">
        <v>611</v>
      </c>
      <c r="B51" s="5" t="s">
        <v>486</v>
      </c>
      <c r="C51" s="5" t="s">
        <v>78</v>
      </c>
      <c r="D51" s="5" t="s">
        <v>612</v>
      </c>
      <c r="E51" s="6"/>
      <c r="F51" s="6"/>
      <c r="G51" s="6"/>
      <c r="H51" s="6"/>
      <c r="I51" s="23"/>
    </row>
    <row r="52" spans="1:9" ht="30" customHeight="1" x14ac:dyDescent="0.3">
      <c r="A52" s="22" t="s">
        <v>613</v>
      </c>
      <c r="B52" s="5" t="s">
        <v>99</v>
      </c>
      <c r="C52" s="5" t="s">
        <v>78</v>
      </c>
      <c r="D52" s="5" t="s">
        <v>101</v>
      </c>
      <c r="E52" s="6"/>
      <c r="F52" s="6"/>
      <c r="G52" s="6"/>
      <c r="H52" s="6"/>
      <c r="I52" s="23"/>
    </row>
    <row r="53" spans="1:9" x14ac:dyDescent="0.3">
      <c r="A53" s="97" t="s">
        <v>137</v>
      </c>
      <c r="B53" s="57"/>
      <c r="C53" s="57"/>
      <c r="D53" s="58"/>
      <c r="E53" s="7" t="str">
        <f>IFERROR(AVERAGE(E48:E52),"")</f>
        <v/>
      </c>
      <c r="F53" s="7" t="str">
        <f>IFERROR(AVERAGE(F48:F52),"")</f>
        <v/>
      </c>
      <c r="G53" s="7" t="str">
        <f>IFERROR(AVERAGE(G48:G52),"")</f>
        <v/>
      </c>
      <c r="H53" s="7" t="str">
        <f>IFERROR(AVERAGE(H48:H52),"")</f>
        <v/>
      </c>
      <c r="I53" s="24" t="str">
        <f>IFERROR(AVERAGE(I48:I52),"")</f>
        <v/>
      </c>
    </row>
    <row r="54" spans="1:9" x14ac:dyDescent="0.3">
      <c r="A54" s="34"/>
      <c r="B54" s="3"/>
      <c r="C54" s="3"/>
      <c r="D54" s="3"/>
      <c r="E54" s="3"/>
      <c r="F54" s="3"/>
      <c r="G54" s="3"/>
      <c r="H54" s="3"/>
      <c r="I54" s="35"/>
    </row>
    <row r="55" spans="1:9" ht="15.75" customHeight="1" x14ac:dyDescent="0.3">
      <c r="A55" s="56" t="s">
        <v>614</v>
      </c>
      <c r="B55" s="57"/>
      <c r="C55" s="57"/>
      <c r="D55" s="57"/>
      <c r="E55" s="57"/>
      <c r="F55" s="57"/>
      <c r="G55" s="57"/>
      <c r="H55" s="57"/>
      <c r="I55" s="58"/>
    </row>
    <row r="56" spans="1:9" ht="24" customHeight="1" x14ac:dyDescent="0.3">
      <c r="A56" s="20" t="s">
        <v>21</v>
      </c>
      <c r="B56" s="4" t="s">
        <v>22</v>
      </c>
      <c r="C56" s="4" t="s">
        <v>23</v>
      </c>
      <c r="D56" s="4" t="s">
        <v>24</v>
      </c>
      <c r="E56" s="4" t="s">
        <v>10</v>
      </c>
      <c r="F56" s="4" t="s">
        <v>11</v>
      </c>
      <c r="G56" s="4" t="s">
        <v>12</v>
      </c>
      <c r="H56" s="4" t="s">
        <v>13</v>
      </c>
      <c r="I56" s="21" t="s">
        <v>14</v>
      </c>
    </row>
    <row r="57" spans="1:9" ht="30" customHeight="1" x14ac:dyDescent="0.3">
      <c r="A57" s="22" t="s">
        <v>615</v>
      </c>
      <c r="B57" s="5" t="s">
        <v>616</v>
      </c>
      <c r="C57" s="5" t="s">
        <v>617</v>
      </c>
      <c r="D57" s="5" t="s">
        <v>618</v>
      </c>
      <c r="E57" s="6"/>
      <c r="F57" s="6"/>
      <c r="G57" s="6"/>
      <c r="H57" s="6"/>
      <c r="I57" s="23"/>
    </row>
    <row r="58" spans="1:9" ht="30" customHeight="1" x14ac:dyDescent="0.3">
      <c r="A58" s="22" t="s">
        <v>619</v>
      </c>
      <c r="B58" s="5" t="s">
        <v>620</v>
      </c>
      <c r="C58" s="5" t="s">
        <v>78</v>
      </c>
      <c r="D58" s="5" t="s">
        <v>621</v>
      </c>
      <c r="E58" s="6"/>
      <c r="F58" s="6"/>
      <c r="G58" s="6"/>
      <c r="H58" s="6"/>
      <c r="I58" s="23"/>
    </row>
    <row r="59" spans="1:9" ht="30" customHeight="1" x14ac:dyDescent="0.3">
      <c r="A59" s="22" t="s">
        <v>622</v>
      </c>
      <c r="B59" s="5" t="s">
        <v>623</v>
      </c>
      <c r="C59" s="5" t="s">
        <v>504</v>
      </c>
      <c r="D59" s="5" t="s">
        <v>624</v>
      </c>
      <c r="E59" s="6"/>
      <c r="F59" s="6"/>
      <c r="G59" s="6"/>
      <c r="H59" s="6"/>
      <c r="I59" s="23"/>
    </row>
    <row r="60" spans="1:9" ht="30" customHeight="1" x14ac:dyDescent="0.3">
      <c r="A60" s="22" t="s">
        <v>625</v>
      </c>
      <c r="B60" s="5" t="s">
        <v>626</v>
      </c>
      <c r="C60" s="5" t="s">
        <v>627</v>
      </c>
      <c r="D60" s="5" t="s">
        <v>628</v>
      </c>
      <c r="E60" s="6"/>
      <c r="F60" s="6"/>
      <c r="G60" s="6"/>
      <c r="H60" s="6"/>
      <c r="I60" s="23"/>
    </row>
    <row r="61" spans="1:9" ht="30" customHeight="1" x14ac:dyDescent="0.3">
      <c r="A61" s="22" t="s">
        <v>629</v>
      </c>
      <c r="B61" s="5" t="s">
        <v>422</v>
      </c>
      <c r="C61" s="5" t="s">
        <v>78</v>
      </c>
      <c r="D61" s="5" t="s">
        <v>630</v>
      </c>
      <c r="E61" s="6"/>
      <c r="F61" s="6"/>
      <c r="G61" s="6"/>
      <c r="H61" s="6"/>
      <c r="I61" s="23"/>
    </row>
    <row r="62" spans="1:9" ht="30" customHeight="1" x14ac:dyDescent="0.3">
      <c r="A62" s="22" t="s">
        <v>129</v>
      </c>
      <c r="B62" s="5" t="s">
        <v>130</v>
      </c>
      <c r="C62" s="5" t="s">
        <v>131</v>
      </c>
      <c r="D62" s="5" t="s">
        <v>132</v>
      </c>
      <c r="E62" s="6"/>
      <c r="F62" s="6"/>
      <c r="G62" s="6"/>
      <c r="H62" s="6"/>
      <c r="I62" s="23"/>
    </row>
    <row r="63" spans="1:9" x14ac:dyDescent="0.3">
      <c r="A63" s="97" t="s">
        <v>166</v>
      </c>
      <c r="B63" s="57"/>
      <c r="C63" s="57"/>
      <c r="D63" s="58"/>
      <c r="E63" s="7" t="str">
        <f>IFERROR(AVERAGE(E57:E62),"")</f>
        <v/>
      </c>
      <c r="F63" s="7" t="str">
        <f>IFERROR(AVERAGE(F57:F62),"")</f>
        <v/>
      </c>
      <c r="G63" s="7" t="str">
        <f>IFERROR(AVERAGE(G57:G62),"")</f>
        <v/>
      </c>
      <c r="H63" s="7" t="str">
        <f>IFERROR(AVERAGE(H57:H62),"")</f>
        <v/>
      </c>
      <c r="I63" s="24" t="str">
        <f>IFERROR(AVERAGE(I57:I62),"")</f>
        <v/>
      </c>
    </row>
    <row r="64" spans="1:9" x14ac:dyDescent="0.3">
      <c r="A64" s="34"/>
      <c r="B64" s="3"/>
      <c r="C64" s="3"/>
      <c r="D64" s="3"/>
      <c r="E64" s="3"/>
      <c r="F64" s="3"/>
      <c r="G64" s="3"/>
      <c r="H64" s="3"/>
      <c r="I64" s="35"/>
    </row>
    <row r="65" spans="1:9" ht="15.75" customHeight="1" x14ac:dyDescent="0.3">
      <c r="A65" s="56" t="s">
        <v>631</v>
      </c>
      <c r="B65" s="57"/>
      <c r="C65" s="57"/>
      <c r="D65" s="57"/>
      <c r="E65" s="57"/>
      <c r="F65" s="57"/>
      <c r="G65" s="57"/>
      <c r="H65" s="57"/>
      <c r="I65" s="58"/>
    </row>
    <row r="66" spans="1:9" ht="24" customHeight="1" x14ac:dyDescent="0.3">
      <c r="A66" s="20" t="s">
        <v>21</v>
      </c>
      <c r="B66" s="4" t="s">
        <v>22</v>
      </c>
      <c r="C66" s="4" t="s">
        <v>23</v>
      </c>
      <c r="D66" s="4" t="s">
        <v>24</v>
      </c>
      <c r="E66" s="4" t="s">
        <v>10</v>
      </c>
      <c r="F66" s="4" t="s">
        <v>11</v>
      </c>
      <c r="G66" s="4" t="s">
        <v>12</v>
      </c>
      <c r="H66" s="4" t="s">
        <v>13</v>
      </c>
      <c r="I66" s="21" t="s">
        <v>14</v>
      </c>
    </row>
    <row r="67" spans="1:9" ht="30" customHeight="1" x14ac:dyDescent="0.3">
      <c r="A67" s="22" t="s">
        <v>140</v>
      </c>
      <c r="B67" s="5" t="s">
        <v>141</v>
      </c>
      <c r="C67" s="5" t="s">
        <v>142</v>
      </c>
      <c r="D67" s="5" t="s">
        <v>143</v>
      </c>
      <c r="E67" s="6"/>
      <c r="F67" s="6"/>
      <c r="G67" s="6"/>
      <c r="H67" s="6"/>
      <c r="I67" s="23"/>
    </row>
    <row r="68" spans="1:9" ht="30" customHeight="1" x14ac:dyDescent="0.3">
      <c r="A68" s="22" t="s">
        <v>144</v>
      </c>
      <c r="B68" s="5" t="s">
        <v>145</v>
      </c>
      <c r="C68" s="5" t="s">
        <v>146</v>
      </c>
      <c r="D68" s="5" t="s">
        <v>147</v>
      </c>
      <c r="E68" s="6"/>
      <c r="F68" s="6"/>
      <c r="G68" s="6"/>
      <c r="H68" s="6"/>
      <c r="I68" s="23"/>
    </row>
    <row r="69" spans="1:9" ht="30" customHeight="1" x14ac:dyDescent="0.3">
      <c r="A69" s="22" t="s">
        <v>151</v>
      </c>
      <c r="B69" s="5" t="s">
        <v>632</v>
      </c>
      <c r="C69" s="5" t="s">
        <v>78</v>
      </c>
      <c r="D69" s="5" t="s">
        <v>153</v>
      </c>
      <c r="E69" s="6"/>
      <c r="F69" s="6"/>
      <c r="G69" s="6"/>
      <c r="H69" s="6"/>
      <c r="I69" s="23"/>
    </row>
    <row r="70" spans="1:9" ht="30" customHeight="1" x14ac:dyDescent="0.3">
      <c r="A70" s="22" t="s">
        <v>633</v>
      </c>
      <c r="B70" s="5" t="s">
        <v>530</v>
      </c>
      <c r="C70" s="5" t="s">
        <v>531</v>
      </c>
      <c r="D70" s="5" t="s">
        <v>634</v>
      </c>
      <c r="E70" s="6"/>
      <c r="F70" s="6"/>
      <c r="G70" s="6"/>
      <c r="H70" s="6"/>
      <c r="I70" s="23"/>
    </row>
    <row r="71" spans="1:9" ht="30" customHeight="1" x14ac:dyDescent="0.3">
      <c r="A71" s="22" t="s">
        <v>154</v>
      </c>
      <c r="B71" s="5" t="s">
        <v>155</v>
      </c>
      <c r="C71" s="5" t="s">
        <v>156</v>
      </c>
      <c r="D71" s="5" t="s">
        <v>157</v>
      </c>
      <c r="E71" s="6"/>
      <c r="F71" s="6"/>
      <c r="G71" s="6"/>
      <c r="H71" s="6"/>
      <c r="I71" s="23"/>
    </row>
    <row r="72" spans="1:9" ht="30" customHeight="1" x14ac:dyDescent="0.3">
      <c r="A72" s="22" t="s">
        <v>158</v>
      </c>
      <c r="B72" s="5" t="s">
        <v>99</v>
      </c>
      <c r="C72" s="5" t="s">
        <v>78</v>
      </c>
      <c r="D72" s="5" t="s">
        <v>101</v>
      </c>
      <c r="E72" s="6"/>
      <c r="F72" s="6"/>
      <c r="G72" s="6"/>
      <c r="H72" s="6"/>
      <c r="I72" s="23"/>
    </row>
    <row r="73" spans="1:9" ht="30" customHeight="1" x14ac:dyDescent="0.3">
      <c r="A73" s="22" t="s">
        <v>635</v>
      </c>
      <c r="B73" s="5" t="s">
        <v>636</v>
      </c>
      <c r="C73" s="5" t="s">
        <v>637</v>
      </c>
      <c r="D73" s="5" t="s">
        <v>638</v>
      </c>
      <c r="E73" s="6"/>
      <c r="F73" s="6"/>
      <c r="G73" s="6"/>
      <c r="H73" s="6"/>
      <c r="I73" s="23"/>
    </row>
    <row r="74" spans="1:9" x14ac:dyDescent="0.3">
      <c r="A74" s="97" t="s">
        <v>184</v>
      </c>
      <c r="B74" s="57"/>
      <c r="C74" s="57"/>
      <c r="D74" s="58"/>
      <c r="E74" s="7" t="str">
        <f>IFERROR(AVERAGE(E67:E73),"")</f>
        <v/>
      </c>
      <c r="F74" s="7" t="str">
        <f>IFERROR(AVERAGE(F67:F73),"")</f>
        <v/>
      </c>
      <c r="G74" s="7" t="str">
        <f>IFERROR(AVERAGE(G67:G73),"")</f>
        <v/>
      </c>
      <c r="H74" s="7" t="str">
        <f>IFERROR(AVERAGE(H67:H73),"")</f>
        <v/>
      </c>
      <c r="I74" s="24" t="str">
        <f>IFERROR(AVERAGE(I67:I73),"")</f>
        <v/>
      </c>
    </row>
    <row r="75" spans="1:9" x14ac:dyDescent="0.3">
      <c r="A75" s="96" t="s">
        <v>639</v>
      </c>
      <c r="B75" s="57"/>
      <c r="C75" s="57"/>
      <c r="D75" s="57"/>
      <c r="E75" s="57"/>
      <c r="F75" s="57"/>
      <c r="G75" s="57"/>
      <c r="H75" s="57"/>
      <c r="I75" s="58"/>
    </row>
    <row r="76" spans="1:9" x14ac:dyDescent="0.3">
      <c r="A76" s="34"/>
      <c r="B76" s="3"/>
      <c r="C76" s="3"/>
      <c r="D76" s="3"/>
      <c r="E76" s="3"/>
      <c r="F76" s="3"/>
      <c r="G76" s="3"/>
      <c r="H76" s="3"/>
      <c r="I76" s="35"/>
    </row>
    <row r="77" spans="1:9" ht="15.75" customHeight="1" x14ac:dyDescent="0.3">
      <c r="A77" s="56" t="s">
        <v>640</v>
      </c>
      <c r="B77" s="57"/>
      <c r="C77" s="57"/>
      <c r="D77" s="57"/>
      <c r="E77" s="57"/>
      <c r="F77" s="57"/>
      <c r="G77" s="57"/>
      <c r="H77" s="57"/>
      <c r="I77" s="58"/>
    </row>
    <row r="78" spans="1:9" ht="24" customHeight="1" x14ac:dyDescent="0.3">
      <c r="A78" s="20" t="s">
        <v>21</v>
      </c>
      <c r="B78" s="4" t="s">
        <v>22</v>
      </c>
      <c r="C78" s="4" t="s">
        <v>23</v>
      </c>
      <c r="D78" s="4" t="s">
        <v>24</v>
      </c>
      <c r="E78" s="4" t="s">
        <v>10</v>
      </c>
      <c r="F78" s="4" t="s">
        <v>11</v>
      </c>
      <c r="G78" s="4" t="s">
        <v>12</v>
      </c>
      <c r="H78" s="4" t="s">
        <v>13</v>
      </c>
      <c r="I78" s="21" t="s">
        <v>14</v>
      </c>
    </row>
    <row r="79" spans="1:9" ht="30" customHeight="1" x14ac:dyDescent="0.3">
      <c r="A79" s="22" t="s">
        <v>168</v>
      </c>
      <c r="B79" s="5" t="s">
        <v>99</v>
      </c>
      <c r="C79" s="5" t="s">
        <v>169</v>
      </c>
      <c r="D79" s="5" t="s">
        <v>170</v>
      </c>
      <c r="E79" s="6"/>
      <c r="F79" s="6"/>
      <c r="G79" s="6"/>
      <c r="H79" s="6"/>
      <c r="I79" s="23"/>
    </row>
    <row r="80" spans="1:9" ht="30" customHeight="1" x14ac:dyDescent="0.3">
      <c r="A80" s="22" t="s">
        <v>176</v>
      </c>
      <c r="B80" s="5" t="s">
        <v>177</v>
      </c>
      <c r="C80" s="5" t="s">
        <v>178</v>
      </c>
      <c r="D80" s="5" t="s">
        <v>179</v>
      </c>
      <c r="E80" s="6"/>
      <c r="F80" s="6"/>
      <c r="G80" s="6"/>
      <c r="H80" s="6"/>
      <c r="I80" s="23"/>
    </row>
    <row r="81" spans="1:9" ht="30" customHeight="1" x14ac:dyDescent="0.3">
      <c r="A81" s="22" t="s">
        <v>180</v>
      </c>
      <c r="B81" s="5" t="s">
        <v>181</v>
      </c>
      <c r="C81" s="5" t="s">
        <v>182</v>
      </c>
      <c r="D81" s="5" t="s">
        <v>183</v>
      </c>
      <c r="E81" s="6"/>
      <c r="F81" s="6"/>
      <c r="G81" s="6"/>
      <c r="H81" s="6"/>
      <c r="I81" s="23"/>
    </row>
    <row r="82" spans="1:9" x14ac:dyDescent="0.3">
      <c r="A82" s="97" t="s">
        <v>641</v>
      </c>
      <c r="B82" s="57"/>
      <c r="C82" s="57"/>
      <c r="D82" s="58"/>
      <c r="E82" s="7" t="str">
        <f>IFERROR(AVERAGE(E79:E81),"")</f>
        <v/>
      </c>
      <c r="F82" s="7" t="str">
        <f>IFERROR(AVERAGE(F79:F81),"")</f>
        <v/>
      </c>
      <c r="G82" s="7" t="str">
        <f>IFERROR(AVERAGE(G79:G81),"")</f>
        <v/>
      </c>
      <c r="H82" s="7" t="str">
        <f>IFERROR(AVERAGE(H79:H81),"")</f>
        <v/>
      </c>
      <c r="I82" s="24" t="str">
        <f>IFERROR(AVERAGE(I79:I81),"")</f>
        <v/>
      </c>
    </row>
    <row r="83" spans="1:9" x14ac:dyDescent="0.3">
      <c r="A83" s="34"/>
      <c r="B83" s="3"/>
      <c r="C83" s="3"/>
      <c r="D83" s="3"/>
      <c r="E83" s="3"/>
      <c r="F83" s="3"/>
      <c r="G83" s="3"/>
      <c r="H83" s="3"/>
      <c r="I83" s="35"/>
    </row>
    <row r="84" spans="1:9" ht="15.75" customHeight="1" x14ac:dyDescent="0.3">
      <c r="A84" s="56" t="s">
        <v>185</v>
      </c>
      <c r="B84" s="57"/>
      <c r="C84" s="57"/>
      <c r="D84" s="57"/>
      <c r="E84" s="57"/>
      <c r="F84" s="57"/>
      <c r="G84" s="57"/>
      <c r="H84" s="57"/>
      <c r="I84" s="58"/>
    </row>
    <row r="85" spans="1:9" ht="24" customHeight="1" x14ac:dyDescent="0.3">
      <c r="A85" s="20" t="s">
        <v>21</v>
      </c>
      <c r="B85" s="4" t="s">
        <v>22</v>
      </c>
      <c r="C85" s="4" t="s">
        <v>23</v>
      </c>
      <c r="D85" s="4" t="s">
        <v>24</v>
      </c>
      <c r="E85" s="4" t="s">
        <v>10</v>
      </c>
      <c r="F85" s="4" t="s">
        <v>11</v>
      </c>
      <c r="G85" s="4" t="s">
        <v>12</v>
      </c>
      <c r="H85" s="4" t="s">
        <v>13</v>
      </c>
      <c r="I85" s="21" t="s">
        <v>14</v>
      </c>
    </row>
    <row r="86" spans="1:9" ht="19.5" customHeight="1" x14ac:dyDescent="0.3">
      <c r="A86" s="25" t="s">
        <v>186</v>
      </c>
      <c r="B86" s="8" t="s">
        <v>187</v>
      </c>
      <c r="C86" s="8" t="s">
        <v>188</v>
      </c>
      <c r="D86" s="8" t="s">
        <v>189</v>
      </c>
      <c r="E86" s="9"/>
      <c r="F86" s="9"/>
      <c r="G86" s="9"/>
      <c r="H86" s="9"/>
      <c r="I86" s="26"/>
    </row>
    <row r="87" spans="1:9" x14ac:dyDescent="0.3">
      <c r="A87" s="34"/>
      <c r="B87" s="3"/>
      <c r="C87" s="3"/>
      <c r="D87" s="3"/>
      <c r="E87" s="3"/>
      <c r="F87" s="3"/>
      <c r="G87" s="3"/>
      <c r="H87" s="3"/>
      <c r="I87" s="35"/>
    </row>
    <row r="88" spans="1:9" ht="15.75" customHeight="1" x14ac:dyDescent="0.3">
      <c r="A88" s="68" t="s">
        <v>190</v>
      </c>
      <c r="B88" s="57"/>
      <c r="C88" s="57"/>
      <c r="D88" s="57"/>
      <c r="E88" s="57"/>
      <c r="F88" s="57"/>
      <c r="G88" s="57"/>
      <c r="H88" s="57"/>
      <c r="I88" s="58"/>
    </row>
    <row r="89" spans="1:9" x14ac:dyDescent="0.3">
      <c r="A89" s="98" t="s">
        <v>191</v>
      </c>
      <c r="B89" s="57"/>
      <c r="C89" s="57"/>
      <c r="D89" s="58"/>
      <c r="E89" s="10" t="s">
        <v>10</v>
      </c>
      <c r="F89" s="10" t="s">
        <v>11</v>
      </c>
      <c r="G89" s="10" t="s">
        <v>12</v>
      </c>
      <c r="H89" s="10" t="s">
        <v>13</v>
      </c>
      <c r="I89" s="27" t="s">
        <v>14</v>
      </c>
    </row>
    <row r="90" spans="1:9" x14ac:dyDescent="0.3">
      <c r="A90" s="97" t="s">
        <v>192</v>
      </c>
      <c r="B90" s="57"/>
      <c r="C90" s="57"/>
      <c r="D90" s="58"/>
      <c r="E90" s="11" t="str">
        <f>IFERROR(AVERAGE(E20:E26,E31:E35,E40:E43,E48:E52,E57:E62,E67:E73,E79:E81),"")</f>
        <v/>
      </c>
      <c r="F90" s="11" t="str">
        <f>IFERROR(AVERAGE(F20:F26,F31:F35,F40:F43,F48:F52,F57:F62,F67:F73,F79:F81),"")</f>
        <v/>
      </c>
      <c r="G90" s="11" t="str">
        <f>IFERROR(AVERAGE(G20:G26,G31:G35,G40:G43,G48:G52,G57:G62,G67:G73,G79:G81),"")</f>
        <v/>
      </c>
      <c r="H90" s="11" t="str">
        <f>IFERROR(AVERAGE(H20:H26,H31:H35,H40:H43,H48:H52,H57:H62,H67:H73,H79:H81),"")</f>
        <v/>
      </c>
      <c r="I90" s="28" t="str">
        <f>IFERROR(AVERAGE(I20:I26,I31:I35,I40:I43,I48:I52,I57:I62,I67:I73,I79:I81),"")</f>
        <v/>
      </c>
    </row>
    <row r="91" spans="1:9" x14ac:dyDescent="0.3">
      <c r="A91" s="97" t="s">
        <v>193</v>
      </c>
      <c r="B91" s="57"/>
      <c r="C91" s="57"/>
      <c r="D91" s="58"/>
      <c r="E91" s="11">
        <f>IFERROR(E86,"")</f>
        <v>0</v>
      </c>
      <c r="F91" s="11">
        <f>IFERROR(F86,"")</f>
        <v>0</v>
      </c>
      <c r="G91" s="11">
        <f>IFERROR(G86,"")</f>
        <v>0</v>
      </c>
      <c r="H91" s="11">
        <f>IFERROR(H86,"")</f>
        <v>0</v>
      </c>
      <c r="I91" s="28">
        <f>IFERROR(I86,"")</f>
        <v>0</v>
      </c>
    </row>
    <row r="92" spans="1:9" x14ac:dyDescent="0.3">
      <c r="A92" s="97" t="s">
        <v>194</v>
      </c>
      <c r="B92" s="57"/>
      <c r="C92" s="57"/>
      <c r="D92" s="58"/>
      <c r="E92" s="7">
        <f>IFERROR(AVERAGE(E90,E91),"")</f>
        <v>0</v>
      </c>
      <c r="F92" s="7">
        <f>IFERROR(AVERAGE(F90,F91),"")</f>
        <v>0</v>
      </c>
      <c r="G92" s="7">
        <f>IFERROR(AVERAGE(G90,G91),"")</f>
        <v>0</v>
      </c>
      <c r="H92" s="7">
        <f>IFERROR(AVERAGE(H90,H91),"")</f>
        <v>0</v>
      </c>
      <c r="I92" s="24">
        <f>IFERROR(AVERAGE(I90,I91),"")</f>
        <v>0</v>
      </c>
    </row>
    <row r="93" spans="1:9" x14ac:dyDescent="0.3">
      <c r="A93" s="96" t="s">
        <v>195</v>
      </c>
      <c r="B93" s="57"/>
      <c r="C93" s="57"/>
      <c r="D93" s="58"/>
      <c r="E93" s="12">
        <f>IFERROR(ABS(E92-3),"")</f>
        <v>3</v>
      </c>
      <c r="F93" s="12">
        <f>IFERROR(ABS(F92-3),"")</f>
        <v>3</v>
      </c>
      <c r="G93" s="12">
        <f>IFERROR(ABS(G92-3),"")</f>
        <v>3</v>
      </c>
      <c r="H93" s="12">
        <f>IFERROR(ABS(H92-3),"")</f>
        <v>3</v>
      </c>
      <c r="I93" s="29">
        <f>IFERROR(ABS(I92-3),"")</f>
        <v>3</v>
      </c>
    </row>
    <row r="94" spans="1:9" x14ac:dyDescent="0.3">
      <c r="A94" s="97" t="s">
        <v>196</v>
      </c>
      <c r="B94" s="57"/>
      <c r="C94" s="57"/>
      <c r="D94" s="58"/>
      <c r="E94" s="10">
        <f>IFERROR(RANK(E93,$E$93:$I$93,1),"")</f>
        <v>1</v>
      </c>
      <c r="F94" s="10">
        <f>IFERROR(RANK(F93,$E$93:$I$93,1),"")</f>
        <v>1</v>
      </c>
      <c r="G94" s="10">
        <f>IFERROR(RANK(G93,$E$93:$I$93,1),"")</f>
        <v>1</v>
      </c>
      <c r="H94" s="10">
        <f>IFERROR(RANK(H93,$E$93:$I$93,1),"")</f>
        <v>1</v>
      </c>
      <c r="I94" s="27">
        <f>IFERROR(RANK(I93,$E$93:$I$93,1),"")</f>
        <v>1</v>
      </c>
    </row>
    <row r="95" spans="1:9" x14ac:dyDescent="0.3">
      <c r="A95" s="34"/>
      <c r="B95" s="3"/>
      <c r="C95" s="3"/>
      <c r="D95" s="3"/>
      <c r="E95" s="3"/>
      <c r="F95" s="3"/>
      <c r="G95" s="3"/>
      <c r="H95" s="3"/>
      <c r="I95" s="35"/>
    </row>
    <row r="96" spans="1:9" x14ac:dyDescent="0.3">
      <c r="A96" s="69" t="s">
        <v>197</v>
      </c>
      <c r="B96" s="57"/>
      <c r="C96" s="57"/>
      <c r="D96" s="57"/>
      <c r="E96" s="57"/>
      <c r="F96" s="57"/>
      <c r="G96" s="57"/>
      <c r="H96" s="57"/>
      <c r="I96" s="58"/>
    </row>
    <row r="97" spans="1:9" ht="18" customHeight="1" x14ac:dyDescent="0.3">
      <c r="A97" s="36" t="s">
        <v>198</v>
      </c>
      <c r="B97" s="62"/>
      <c r="C97" s="57"/>
      <c r="D97" s="57"/>
      <c r="E97" s="57"/>
      <c r="F97" s="57"/>
      <c r="G97" s="57"/>
      <c r="H97" s="57"/>
      <c r="I97" s="58"/>
    </row>
    <row r="98" spans="1:9" ht="18" customHeight="1" x14ac:dyDescent="0.3">
      <c r="A98" s="36" t="s">
        <v>199</v>
      </c>
      <c r="B98" s="62"/>
      <c r="C98" s="57"/>
      <c r="D98" s="57"/>
      <c r="E98" s="57"/>
      <c r="F98" s="57"/>
      <c r="G98" s="57"/>
      <c r="H98" s="57"/>
      <c r="I98" s="58"/>
    </row>
    <row r="99" spans="1:9" ht="18" customHeight="1" x14ac:dyDescent="0.3">
      <c r="A99" s="36" t="s">
        <v>200</v>
      </c>
      <c r="B99" s="62"/>
      <c r="C99" s="57"/>
      <c r="D99" s="57"/>
      <c r="E99" s="57"/>
      <c r="F99" s="57"/>
      <c r="G99" s="57"/>
      <c r="H99" s="57"/>
      <c r="I99" s="58"/>
    </row>
    <row r="100" spans="1:9" ht="18" customHeight="1" x14ac:dyDescent="0.3">
      <c r="A100" s="36" t="s">
        <v>201</v>
      </c>
      <c r="B100" s="62"/>
      <c r="C100" s="57"/>
      <c r="D100" s="57"/>
      <c r="E100" s="57"/>
      <c r="F100" s="57"/>
      <c r="G100" s="57"/>
      <c r="H100" s="57"/>
      <c r="I100" s="58"/>
    </row>
    <row r="101" spans="1:9" ht="18" customHeight="1" x14ac:dyDescent="0.3">
      <c r="A101" s="36" t="s">
        <v>202</v>
      </c>
      <c r="B101" s="62"/>
      <c r="C101" s="57"/>
      <c r="D101" s="57"/>
      <c r="E101" s="57"/>
      <c r="F101" s="57"/>
      <c r="G101" s="57"/>
      <c r="H101" s="57"/>
      <c r="I101" s="58"/>
    </row>
    <row r="102" spans="1:9" x14ac:dyDescent="0.3">
      <c r="A102" s="34"/>
      <c r="B102" s="3"/>
      <c r="C102" s="3"/>
      <c r="D102" s="3"/>
      <c r="E102" s="3"/>
      <c r="F102" s="3"/>
      <c r="G102" s="3"/>
      <c r="H102" s="3"/>
      <c r="I102" s="35"/>
    </row>
    <row r="103" spans="1:9" ht="15" customHeight="1" thickBot="1" x14ac:dyDescent="0.35">
      <c r="A103" s="41" t="s">
        <v>203</v>
      </c>
      <c r="B103" s="53"/>
      <c r="C103" s="55"/>
      <c r="D103" s="42" t="s">
        <v>204</v>
      </c>
      <c r="E103" s="53"/>
      <c r="F103" s="54"/>
      <c r="G103" s="54"/>
      <c r="H103" s="55"/>
      <c r="I103" s="43" t="s">
        <v>4</v>
      </c>
    </row>
  </sheetData>
  <mergeCells count="47">
    <mergeCell ref="B100:I100"/>
    <mergeCell ref="B7:C7"/>
    <mergeCell ref="A53:D53"/>
    <mergeCell ref="A91:D91"/>
    <mergeCell ref="A46:I46"/>
    <mergeCell ref="A75:I75"/>
    <mergeCell ref="A84:I84"/>
    <mergeCell ref="A18:I18"/>
    <mergeCell ref="B98:I98"/>
    <mergeCell ref="A10:D10"/>
    <mergeCell ref="A93:D93"/>
    <mergeCell ref="A13:D13"/>
    <mergeCell ref="A44:D44"/>
    <mergeCell ref="B97:I97"/>
    <mergeCell ref="A65:I65"/>
    <mergeCell ref="A96:I96"/>
    <mergeCell ref="A29:I29"/>
    <mergeCell ref="A94:D94"/>
    <mergeCell ref="A2:I2"/>
    <mergeCell ref="A5:C5"/>
    <mergeCell ref="A92:D92"/>
    <mergeCell ref="A82:D82"/>
    <mergeCell ref="A16:I16"/>
    <mergeCell ref="A11:D11"/>
    <mergeCell ref="E6:I6"/>
    <mergeCell ref="D5:I5"/>
    <mergeCell ref="B6:C6"/>
    <mergeCell ref="E7:I7"/>
    <mergeCell ref="A3:I3"/>
    <mergeCell ref="A63:D63"/>
    <mergeCell ref="A55:I55"/>
    <mergeCell ref="A1:I1"/>
    <mergeCell ref="A88:I88"/>
    <mergeCell ref="A14:D14"/>
    <mergeCell ref="B103:C103"/>
    <mergeCell ref="A9:I9"/>
    <mergeCell ref="B99:I99"/>
    <mergeCell ref="A77:I77"/>
    <mergeCell ref="E103:H103"/>
    <mergeCell ref="A90:D90"/>
    <mergeCell ref="A27:D27"/>
    <mergeCell ref="A89:D89"/>
    <mergeCell ref="A74:D74"/>
    <mergeCell ref="A12:D12"/>
    <mergeCell ref="B101:I101"/>
    <mergeCell ref="A36:D36"/>
    <mergeCell ref="A38:I38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06"/>
  <sheetViews>
    <sheetView showGridLines="0" zoomScaleNormal="100" workbookViewId="0">
      <selection sqref="A1:I106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642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643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/>
      <c r="F10" s="2"/>
      <c r="G10" s="2"/>
      <c r="H10" s="2"/>
      <c r="I10" s="19"/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34"/>
      <c r="B12" s="3"/>
      <c r="C12" s="3"/>
      <c r="D12" s="3"/>
      <c r="E12" s="3"/>
      <c r="F12" s="3"/>
      <c r="G12" s="3"/>
      <c r="H12" s="3"/>
      <c r="I12" s="35"/>
    </row>
    <row r="13" spans="1:9" ht="25.5" customHeight="1" x14ac:dyDescent="0.3">
      <c r="A13" s="70" t="s">
        <v>19</v>
      </c>
      <c r="B13" s="57"/>
      <c r="C13" s="57"/>
      <c r="D13" s="57"/>
      <c r="E13" s="57"/>
      <c r="F13" s="57"/>
      <c r="G13" s="57"/>
      <c r="H13" s="57"/>
      <c r="I13" s="58"/>
    </row>
    <row r="14" spans="1:9" x14ac:dyDescent="0.3">
      <c r="A14" s="34"/>
      <c r="B14" s="3"/>
      <c r="C14" s="3"/>
      <c r="D14" s="3"/>
      <c r="E14" s="3"/>
      <c r="F14" s="3"/>
      <c r="G14" s="3"/>
      <c r="H14" s="3"/>
      <c r="I14" s="35"/>
    </row>
    <row r="15" spans="1:9" ht="15.75" customHeight="1" x14ac:dyDescent="0.3">
      <c r="A15" s="56" t="s">
        <v>370</v>
      </c>
      <c r="B15" s="57"/>
      <c r="C15" s="57"/>
      <c r="D15" s="57"/>
      <c r="E15" s="57"/>
      <c r="F15" s="57"/>
      <c r="G15" s="57"/>
      <c r="H15" s="57"/>
      <c r="I15" s="58"/>
    </row>
    <row r="16" spans="1:9" ht="24" customHeight="1" x14ac:dyDescent="0.3">
      <c r="A16" s="20" t="s">
        <v>21</v>
      </c>
      <c r="B16" s="4" t="s">
        <v>22</v>
      </c>
      <c r="C16" s="4" t="s">
        <v>23</v>
      </c>
      <c r="D16" s="4" t="s">
        <v>24</v>
      </c>
      <c r="E16" s="4"/>
      <c r="F16" s="4"/>
      <c r="G16" s="4"/>
      <c r="H16" s="4"/>
      <c r="I16" s="21"/>
    </row>
    <row r="17" spans="1:9" ht="30" customHeight="1" x14ac:dyDescent="0.3">
      <c r="A17" s="22" t="s">
        <v>25</v>
      </c>
      <c r="B17" s="5" t="s">
        <v>644</v>
      </c>
      <c r="C17" s="5" t="s">
        <v>211</v>
      </c>
      <c r="D17" s="5" t="s">
        <v>645</v>
      </c>
      <c r="E17" s="6"/>
      <c r="F17" s="6"/>
      <c r="G17" s="6"/>
      <c r="H17" s="6"/>
      <c r="I17" s="23"/>
    </row>
    <row r="18" spans="1:9" ht="30" customHeight="1" x14ac:dyDescent="0.3">
      <c r="A18" s="22" t="s">
        <v>646</v>
      </c>
      <c r="B18" s="5" t="s">
        <v>30</v>
      </c>
      <c r="C18" s="5" t="s">
        <v>31</v>
      </c>
      <c r="D18" s="5" t="s">
        <v>647</v>
      </c>
      <c r="E18" s="6"/>
      <c r="F18" s="6"/>
      <c r="G18" s="6"/>
      <c r="H18" s="6"/>
      <c r="I18" s="23"/>
    </row>
    <row r="19" spans="1:9" ht="30" customHeight="1" x14ac:dyDescent="0.3">
      <c r="A19" s="22" t="s">
        <v>648</v>
      </c>
      <c r="B19" s="5" t="s">
        <v>649</v>
      </c>
      <c r="C19" s="5" t="s">
        <v>650</v>
      </c>
      <c r="D19" s="5" t="s">
        <v>651</v>
      </c>
      <c r="E19" s="6"/>
      <c r="F19" s="6"/>
      <c r="G19" s="6"/>
      <c r="H19" s="6"/>
      <c r="I19" s="23"/>
    </row>
    <row r="20" spans="1:9" ht="30" customHeight="1" x14ac:dyDescent="0.3">
      <c r="A20" s="22" t="s">
        <v>41</v>
      </c>
      <c r="B20" s="5" t="s">
        <v>652</v>
      </c>
      <c r="C20" s="5" t="s">
        <v>78</v>
      </c>
      <c r="D20" s="5" t="s">
        <v>44</v>
      </c>
      <c r="E20" s="6"/>
      <c r="F20" s="6"/>
      <c r="G20" s="6"/>
      <c r="H20" s="6"/>
      <c r="I20" s="23"/>
    </row>
    <row r="21" spans="1:9" ht="30" customHeight="1" x14ac:dyDescent="0.3">
      <c r="A21" s="22" t="s">
        <v>653</v>
      </c>
      <c r="B21" s="5" t="s">
        <v>654</v>
      </c>
      <c r="C21" s="5" t="s">
        <v>655</v>
      </c>
      <c r="D21" s="5" t="s">
        <v>656</v>
      </c>
      <c r="E21" s="6"/>
      <c r="F21" s="6"/>
      <c r="G21" s="6"/>
      <c r="H21" s="6"/>
      <c r="I21" s="23"/>
    </row>
    <row r="22" spans="1:9" ht="30" customHeight="1" x14ac:dyDescent="0.3">
      <c r="A22" s="22" t="s">
        <v>657</v>
      </c>
      <c r="B22" s="5" t="s">
        <v>658</v>
      </c>
      <c r="C22" s="5" t="s">
        <v>659</v>
      </c>
      <c r="D22" s="5" t="s">
        <v>660</v>
      </c>
      <c r="E22" s="6"/>
      <c r="F22" s="6"/>
      <c r="G22" s="6"/>
      <c r="H22" s="6"/>
      <c r="I22" s="23"/>
    </row>
    <row r="23" spans="1:9" ht="30" customHeight="1" x14ac:dyDescent="0.3">
      <c r="A23" s="22" t="s">
        <v>661</v>
      </c>
      <c r="B23" s="5" t="s">
        <v>662</v>
      </c>
      <c r="C23" s="5" t="s">
        <v>663</v>
      </c>
      <c r="D23" s="5" t="s">
        <v>664</v>
      </c>
      <c r="E23" s="6"/>
      <c r="F23" s="6"/>
      <c r="G23" s="6"/>
      <c r="H23" s="6"/>
      <c r="I23" s="23"/>
    </row>
    <row r="24" spans="1:9" x14ac:dyDescent="0.3">
      <c r="A24" s="97" t="s">
        <v>53</v>
      </c>
      <c r="B24" s="57"/>
      <c r="C24" s="57"/>
      <c r="D24" s="58"/>
      <c r="E24" s="7" t="str">
        <f>IFERROR(AVERAGE(E17:E23),"")</f>
        <v/>
      </c>
      <c r="F24" s="7" t="str">
        <f>IFERROR(AVERAGE(F17:F23),"")</f>
        <v/>
      </c>
      <c r="G24" s="7" t="str">
        <f>IFERROR(AVERAGE(G17:G23),"")</f>
        <v/>
      </c>
      <c r="H24" s="7" t="str">
        <f>IFERROR(AVERAGE(H17:H23),"")</f>
        <v/>
      </c>
      <c r="I24" s="24" t="str">
        <f>IFERROR(AVERAGE(I17:I23),"")</f>
        <v/>
      </c>
    </row>
    <row r="25" spans="1:9" x14ac:dyDescent="0.3">
      <c r="A25" s="96" t="s">
        <v>665</v>
      </c>
      <c r="B25" s="57"/>
      <c r="C25" s="57"/>
      <c r="D25" s="57"/>
      <c r="E25" s="57"/>
      <c r="F25" s="57"/>
      <c r="G25" s="57"/>
      <c r="H25" s="57"/>
      <c r="I25" s="58"/>
    </row>
    <row r="26" spans="1:9" x14ac:dyDescent="0.3">
      <c r="A26" s="34"/>
      <c r="B26" s="3"/>
      <c r="C26" s="3"/>
      <c r="D26" s="3"/>
      <c r="E26" s="3"/>
      <c r="F26" s="3"/>
      <c r="G26" s="3"/>
      <c r="H26" s="3"/>
      <c r="I26" s="35"/>
    </row>
    <row r="27" spans="1:9" ht="15.75" customHeight="1" x14ac:dyDescent="0.3">
      <c r="A27" s="56" t="s">
        <v>389</v>
      </c>
      <c r="B27" s="57"/>
      <c r="C27" s="57"/>
      <c r="D27" s="57"/>
      <c r="E27" s="57"/>
      <c r="F27" s="57"/>
      <c r="G27" s="57"/>
      <c r="H27" s="57"/>
      <c r="I27" s="58"/>
    </row>
    <row r="28" spans="1:9" ht="24" customHeight="1" x14ac:dyDescent="0.3">
      <c r="A28" s="20" t="s">
        <v>21</v>
      </c>
      <c r="B28" s="4" t="s">
        <v>22</v>
      </c>
      <c r="C28" s="4" t="s">
        <v>23</v>
      </c>
      <c r="D28" s="4" t="s">
        <v>24</v>
      </c>
      <c r="E28" s="4"/>
      <c r="F28" s="4"/>
      <c r="G28" s="4"/>
      <c r="H28" s="4"/>
      <c r="I28" s="21"/>
    </row>
    <row r="29" spans="1:9" ht="30" customHeight="1" x14ac:dyDescent="0.3">
      <c r="A29" s="22" t="s">
        <v>251</v>
      </c>
      <c r="B29" s="5" t="s">
        <v>461</v>
      </c>
      <c r="C29" s="5" t="s">
        <v>253</v>
      </c>
      <c r="D29" s="5" t="s">
        <v>463</v>
      </c>
      <c r="E29" s="6"/>
      <c r="F29" s="6"/>
      <c r="G29" s="6"/>
      <c r="H29" s="6"/>
      <c r="I29" s="23"/>
    </row>
    <row r="30" spans="1:9" ht="30" customHeight="1" x14ac:dyDescent="0.3">
      <c r="A30" s="22" t="s">
        <v>255</v>
      </c>
      <c r="B30" s="5" t="s">
        <v>666</v>
      </c>
      <c r="C30" s="5" t="s">
        <v>31</v>
      </c>
      <c r="D30" s="5" t="s">
        <v>667</v>
      </c>
      <c r="E30" s="6"/>
      <c r="F30" s="6"/>
      <c r="G30" s="6"/>
      <c r="H30" s="6"/>
      <c r="I30" s="23"/>
    </row>
    <row r="31" spans="1:9" ht="30" customHeight="1" x14ac:dyDescent="0.3">
      <c r="A31" s="22" t="s">
        <v>56</v>
      </c>
      <c r="B31" s="5" t="s">
        <v>668</v>
      </c>
      <c r="C31" s="5" t="s">
        <v>78</v>
      </c>
      <c r="D31" s="5" t="s">
        <v>669</v>
      </c>
      <c r="E31" s="6"/>
      <c r="F31" s="6"/>
      <c r="G31" s="6"/>
      <c r="H31" s="6"/>
      <c r="I31" s="23"/>
    </row>
    <row r="32" spans="1:9" ht="30" customHeight="1" x14ac:dyDescent="0.3">
      <c r="A32" s="22" t="s">
        <v>670</v>
      </c>
      <c r="B32" s="5" t="s">
        <v>671</v>
      </c>
      <c r="C32" s="5" t="s">
        <v>672</v>
      </c>
      <c r="D32" s="5" t="s">
        <v>673</v>
      </c>
      <c r="E32" s="6"/>
      <c r="F32" s="6"/>
      <c r="G32" s="6"/>
      <c r="H32" s="6"/>
      <c r="I32" s="23"/>
    </row>
    <row r="33" spans="1:9" ht="30" customHeight="1" x14ac:dyDescent="0.3">
      <c r="A33" s="22" t="s">
        <v>674</v>
      </c>
      <c r="B33" s="5" t="s">
        <v>465</v>
      </c>
      <c r="C33" s="5" t="s">
        <v>394</v>
      </c>
      <c r="D33" s="5" t="s">
        <v>675</v>
      </c>
      <c r="E33" s="6"/>
      <c r="F33" s="6"/>
      <c r="G33" s="6"/>
      <c r="H33" s="6"/>
      <c r="I33" s="23"/>
    </row>
    <row r="34" spans="1:9" x14ac:dyDescent="0.3">
      <c r="A34" s="97" t="s">
        <v>80</v>
      </c>
      <c r="B34" s="57"/>
      <c r="C34" s="57"/>
      <c r="D34" s="58"/>
      <c r="E34" s="7" t="str">
        <f>IFERROR(AVERAGE(E29:E33),"")</f>
        <v/>
      </c>
      <c r="F34" s="7" t="str">
        <f>IFERROR(AVERAGE(F29:F33),"")</f>
        <v/>
      </c>
      <c r="G34" s="7" t="str">
        <f>IFERROR(AVERAGE(G29:G33),"")</f>
        <v/>
      </c>
      <c r="H34" s="7" t="str">
        <f>IFERROR(AVERAGE(H29:H33),"")</f>
        <v/>
      </c>
      <c r="I34" s="24" t="str">
        <f>IFERROR(AVERAGE(I29:I33),"")</f>
        <v/>
      </c>
    </row>
    <row r="35" spans="1:9" x14ac:dyDescent="0.3">
      <c r="A35" s="96" t="s">
        <v>676</v>
      </c>
      <c r="B35" s="57"/>
      <c r="C35" s="57"/>
      <c r="D35" s="57"/>
      <c r="E35" s="57"/>
      <c r="F35" s="57"/>
      <c r="G35" s="57"/>
      <c r="H35" s="57"/>
      <c r="I35" s="58"/>
    </row>
    <row r="36" spans="1:9" x14ac:dyDescent="0.3">
      <c r="A36" s="34"/>
      <c r="B36" s="3"/>
      <c r="C36" s="3"/>
      <c r="D36" s="3"/>
      <c r="E36" s="3"/>
      <c r="F36" s="3"/>
      <c r="G36" s="3"/>
      <c r="H36" s="3"/>
      <c r="I36" s="35"/>
    </row>
    <row r="37" spans="1:9" ht="15.75" customHeight="1" x14ac:dyDescent="0.3">
      <c r="A37" s="56" t="s">
        <v>82</v>
      </c>
      <c r="B37" s="57"/>
      <c r="C37" s="57"/>
      <c r="D37" s="57"/>
      <c r="E37" s="57"/>
      <c r="F37" s="57"/>
      <c r="G37" s="57"/>
      <c r="H37" s="57"/>
      <c r="I37" s="58"/>
    </row>
    <row r="38" spans="1:9" ht="24" customHeight="1" x14ac:dyDescent="0.3">
      <c r="A38" s="20" t="s">
        <v>21</v>
      </c>
      <c r="B38" s="4" t="s">
        <v>22</v>
      </c>
      <c r="C38" s="4" t="s">
        <v>23</v>
      </c>
      <c r="D38" s="4" t="s">
        <v>24</v>
      </c>
      <c r="E38" s="4"/>
      <c r="F38" s="4"/>
      <c r="G38" s="4"/>
      <c r="H38" s="4"/>
      <c r="I38" s="21"/>
    </row>
    <row r="39" spans="1:9" ht="30" customHeight="1" x14ac:dyDescent="0.3">
      <c r="A39" s="22" t="s">
        <v>677</v>
      </c>
      <c r="B39" s="5" t="s">
        <v>678</v>
      </c>
      <c r="C39" s="5" t="s">
        <v>679</v>
      </c>
      <c r="D39" s="5" t="s">
        <v>680</v>
      </c>
      <c r="E39" s="6"/>
      <c r="F39" s="6"/>
      <c r="G39" s="6"/>
      <c r="H39" s="6"/>
      <c r="I39" s="23"/>
    </row>
    <row r="40" spans="1:9" ht="30" customHeight="1" x14ac:dyDescent="0.3">
      <c r="A40" s="22" t="s">
        <v>681</v>
      </c>
      <c r="B40" s="5" t="s">
        <v>682</v>
      </c>
      <c r="C40" s="5" t="s">
        <v>78</v>
      </c>
      <c r="D40" s="5" t="s">
        <v>683</v>
      </c>
      <c r="E40" s="6"/>
      <c r="F40" s="6"/>
      <c r="G40" s="6"/>
      <c r="H40" s="6"/>
      <c r="I40" s="23"/>
    </row>
    <row r="41" spans="1:9" ht="30" customHeight="1" x14ac:dyDescent="0.3">
      <c r="A41" s="22" t="s">
        <v>684</v>
      </c>
      <c r="B41" s="5" t="s">
        <v>682</v>
      </c>
      <c r="C41" s="5" t="s">
        <v>78</v>
      </c>
      <c r="D41" s="5" t="s">
        <v>685</v>
      </c>
      <c r="E41" s="6"/>
      <c r="F41" s="6"/>
      <c r="G41" s="6"/>
      <c r="H41" s="6"/>
      <c r="I41" s="23"/>
    </row>
    <row r="42" spans="1:9" ht="30" customHeight="1" x14ac:dyDescent="0.3">
      <c r="A42" s="22" t="s">
        <v>686</v>
      </c>
      <c r="B42" s="5" t="s">
        <v>682</v>
      </c>
      <c r="C42" s="5" t="s">
        <v>78</v>
      </c>
      <c r="D42" s="5" t="s">
        <v>687</v>
      </c>
      <c r="E42" s="6"/>
      <c r="F42" s="6"/>
      <c r="G42" s="6"/>
      <c r="H42" s="6"/>
      <c r="I42" s="23"/>
    </row>
    <row r="43" spans="1:9" ht="30" customHeight="1" x14ac:dyDescent="0.3">
      <c r="A43" s="22" t="s">
        <v>688</v>
      </c>
      <c r="B43" s="5" t="s">
        <v>682</v>
      </c>
      <c r="C43" s="5" t="s">
        <v>689</v>
      </c>
      <c r="D43" s="5" t="s">
        <v>690</v>
      </c>
      <c r="E43" s="6"/>
      <c r="F43" s="6"/>
      <c r="G43" s="6"/>
      <c r="H43" s="6"/>
      <c r="I43" s="23"/>
    </row>
    <row r="44" spans="1:9" ht="30" customHeight="1" x14ac:dyDescent="0.3">
      <c r="A44" s="22" t="s">
        <v>691</v>
      </c>
      <c r="B44" s="5" t="s">
        <v>99</v>
      </c>
      <c r="C44" s="5" t="s">
        <v>78</v>
      </c>
      <c r="D44" s="5" t="s">
        <v>692</v>
      </c>
      <c r="E44" s="6"/>
      <c r="F44" s="6"/>
      <c r="G44" s="6"/>
      <c r="H44" s="6"/>
      <c r="I44" s="23"/>
    </row>
    <row r="45" spans="1:9" x14ac:dyDescent="0.3">
      <c r="A45" s="97" t="s">
        <v>108</v>
      </c>
      <c r="B45" s="57"/>
      <c r="C45" s="57"/>
      <c r="D45" s="58"/>
      <c r="E45" s="7" t="str">
        <f>IFERROR(AVERAGE(E39:E44),"")</f>
        <v/>
      </c>
      <c r="F45" s="7" t="str">
        <f>IFERROR(AVERAGE(F39:F44),"")</f>
        <v/>
      </c>
      <c r="G45" s="7" t="str">
        <f>IFERROR(AVERAGE(G39:G44),"")</f>
        <v/>
      </c>
      <c r="H45" s="7" t="str">
        <f>IFERROR(AVERAGE(H39:H44),"")</f>
        <v/>
      </c>
      <c r="I45" s="24" t="str">
        <f>IFERROR(AVERAGE(I39:I44),"")</f>
        <v/>
      </c>
    </row>
    <row r="46" spans="1:9" x14ac:dyDescent="0.3">
      <c r="A46" s="96" t="s">
        <v>693</v>
      </c>
      <c r="B46" s="57"/>
      <c r="C46" s="57"/>
      <c r="D46" s="57"/>
      <c r="E46" s="57"/>
      <c r="F46" s="57"/>
      <c r="G46" s="57"/>
      <c r="H46" s="57"/>
      <c r="I46" s="58"/>
    </row>
    <row r="47" spans="1:9" x14ac:dyDescent="0.3">
      <c r="A47" s="96" t="s">
        <v>694</v>
      </c>
      <c r="B47" s="57"/>
      <c r="C47" s="57"/>
      <c r="D47" s="57"/>
      <c r="E47" s="57"/>
      <c r="F47" s="57"/>
      <c r="G47" s="57"/>
      <c r="H47" s="57"/>
      <c r="I47" s="58"/>
    </row>
    <row r="48" spans="1:9" x14ac:dyDescent="0.3">
      <c r="A48" s="96" t="s">
        <v>695</v>
      </c>
      <c r="B48" s="57"/>
      <c r="C48" s="57"/>
      <c r="D48" s="57"/>
      <c r="E48" s="57"/>
      <c r="F48" s="57"/>
      <c r="G48" s="57"/>
      <c r="H48" s="57"/>
      <c r="I48" s="58"/>
    </row>
    <row r="49" spans="1:9" x14ac:dyDescent="0.3">
      <c r="A49" s="34"/>
      <c r="B49" s="3"/>
      <c r="C49" s="3"/>
      <c r="D49" s="3"/>
      <c r="E49" s="3"/>
      <c r="F49" s="3"/>
      <c r="G49" s="3"/>
      <c r="H49" s="3"/>
      <c r="I49" s="35"/>
    </row>
    <row r="50" spans="1:9" ht="15.75" customHeight="1" x14ac:dyDescent="0.3">
      <c r="A50" s="56" t="s">
        <v>498</v>
      </c>
      <c r="B50" s="57"/>
      <c r="C50" s="57"/>
      <c r="D50" s="57"/>
      <c r="E50" s="57"/>
      <c r="F50" s="57"/>
      <c r="G50" s="57"/>
      <c r="H50" s="57"/>
      <c r="I50" s="58"/>
    </row>
    <row r="51" spans="1:9" ht="24" customHeight="1" x14ac:dyDescent="0.3">
      <c r="A51" s="20" t="s">
        <v>21</v>
      </c>
      <c r="B51" s="4" t="s">
        <v>22</v>
      </c>
      <c r="C51" s="4" t="s">
        <v>23</v>
      </c>
      <c r="D51" s="4" t="s">
        <v>24</v>
      </c>
      <c r="E51" s="4"/>
      <c r="F51" s="4"/>
      <c r="G51" s="4"/>
      <c r="H51" s="4"/>
      <c r="I51" s="21"/>
    </row>
    <row r="52" spans="1:9" ht="30" customHeight="1" x14ac:dyDescent="0.3">
      <c r="A52" s="22" t="s">
        <v>696</v>
      </c>
      <c r="B52" s="5" t="s">
        <v>697</v>
      </c>
      <c r="C52" s="5" t="s">
        <v>698</v>
      </c>
      <c r="D52" s="5" t="s">
        <v>699</v>
      </c>
      <c r="E52" s="6"/>
      <c r="F52" s="6"/>
      <c r="G52" s="6"/>
      <c r="H52" s="6"/>
      <c r="I52" s="23"/>
    </row>
    <row r="53" spans="1:9" ht="30" customHeight="1" x14ac:dyDescent="0.3">
      <c r="A53" s="22" t="s">
        <v>700</v>
      </c>
      <c r="B53" s="5" t="s">
        <v>701</v>
      </c>
      <c r="C53" s="5" t="s">
        <v>78</v>
      </c>
      <c r="D53" s="5" t="s">
        <v>702</v>
      </c>
      <c r="E53" s="6"/>
      <c r="F53" s="6"/>
      <c r="G53" s="6"/>
      <c r="H53" s="6"/>
      <c r="I53" s="23"/>
    </row>
    <row r="54" spans="1:9" ht="30" customHeight="1" x14ac:dyDescent="0.3">
      <c r="A54" s="22" t="s">
        <v>703</v>
      </c>
      <c r="B54" s="5" t="s">
        <v>704</v>
      </c>
      <c r="C54" s="5" t="s">
        <v>585</v>
      </c>
      <c r="D54" s="5" t="s">
        <v>705</v>
      </c>
      <c r="E54" s="6"/>
      <c r="F54" s="6"/>
      <c r="G54" s="6"/>
      <c r="H54" s="6"/>
      <c r="I54" s="23"/>
    </row>
    <row r="55" spans="1:9" ht="30" customHeight="1" x14ac:dyDescent="0.3">
      <c r="A55" s="22" t="s">
        <v>577</v>
      </c>
      <c r="B55" s="5" t="s">
        <v>706</v>
      </c>
      <c r="C55" s="5" t="s">
        <v>78</v>
      </c>
      <c r="D55" s="5" t="s">
        <v>707</v>
      </c>
      <c r="E55" s="6"/>
      <c r="F55" s="6"/>
      <c r="G55" s="6"/>
      <c r="H55" s="6"/>
      <c r="I55" s="23"/>
    </row>
    <row r="56" spans="1:9" ht="30" customHeight="1" x14ac:dyDescent="0.3">
      <c r="A56" s="22" t="s">
        <v>708</v>
      </c>
      <c r="B56" s="5" t="s">
        <v>709</v>
      </c>
      <c r="C56" s="5" t="s">
        <v>78</v>
      </c>
      <c r="D56" s="5" t="s">
        <v>710</v>
      </c>
      <c r="E56" s="6"/>
      <c r="F56" s="6"/>
      <c r="G56" s="6"/>
      <c r="H56" s="6"/>
      <c r="I56" s="23"/>
    </row>
    <row r="57" spans="1:9" ht="30" customHeight="1" x14ac:dyDescent="0.3">
      <c r="A57" s="22" t="s">
        <v>711</v>
      </c>
      <c r="B57" s="5" t="s">
        <v>233</v>
      </c>
      <c r="C57" s="5" t="s">
        <v>712</v>
      </c>
      <c r="D57" s="5" t="s">
        <v>713</v>
      </c>
      <c r="E57" s="6"/>
      <c r="F57" s="6"/>
      <c r="G57" s="6"/>
      <c r="H57" s="6"/>
      <c r="I57" s="23"/>
    </row>
    <row r="58" spans="1:9" ht="30" customHeight="1" x14ac:dyDescent="0.3">
      <c r="A58" s="22" t="s">
        <v>714</v>
      </c>
      <c r="B58" s="5" t="s">
        <v>715</v>
      </c>
      <c r="C58" s="5" t="s">
        <v>66</v>
      </c>
      <c r="D58" s="5" t="s">
        <v>716</v>
      </c>
      <c r="E58" s="6"/>
      <c r="F58" s="6"/>
      <c r="G58" s="6"/>
      <c r="H58" s="6"/>
      <c r="I58" s="23"/>
    </row>
    <row r="59" spans="1:9" ht="30" customHeight="1" x14ac:dyDescent="0.3">
      <c r="A59" s="22" t="s">
        <v>717</v>
      </c>
      <c r="B59" s="5" t="s">
        <v>718</v>
      </c>
      <c r="C59" s="5" t="s">
        <v>78</v>
      </c>
      <c r="D59" s="5" t="s">
        <v>719</v>
      </c>
      <c r="E59" s="6"/>
      <c r="F59" s="6"/>
      <c r="G59" s="6"/>
      <c r="H59" s="6"/>
      <c r="I59" s="23"/>
    </row>
    <row r="60" spans="1:9" ht="30" customHeight="1" x14ac:dyDescent="0.3">
      <c r="A60" s="22" t="s">
        <v>720</v>
      </c>
      <c r="B60" s="5" t="s">
        <v>721</v>
      </c>
      <c r="C60" s="5" t="s">
        <v>722</v>
      </c>
      <c r="D60" s="5" t="s">
        <v>723</v>
      </c>
      <c r="E60" s="6"/>
      <c r="F60" s="6"/>
      <c r="G60" s="6"/>
      <c r="H60" s="6"/>
      <c r="I60" s="23"/>
    </row>
    <row r="61" spans="1:9" x14ac:dyDescent="0.3">
      <c r="A61" s="97" t="s">
        <v>137</v>
      </c>
      <c r="B61" s="57"/>
      <c r="C61" s="57"/>
      <c r="D61" s="58"/>
      <c r="E61" s="7" t="str">
        <f>IFERROR(AVERAGE(E52:E60),"")</f>
        <v/>
      </c>
      <c r="F61" s="7" t="str">
        <f>IFERROR(AVERAGE(F52:F60),"")</f>
        <v/>
      </c>
      <c r="G61" s="7" t="str">
        <f>IFERROR(AVERAGE(G52:G60),"")</f>
        <v/>
      </c>
      <c r="H61" s="7" t="str">
        <f>IFERROR(AVERAGE(H52:H60),"")</f>
        <v/>
      </c>
      <c r="I61" s="24" t="str">
        <f>IFERROR(AVERAGE(I52:I60),"")</f>
        <v/>
      </c>
    </row>
    <row r="62" spans="1:9" x14ac:dyDescent="0.3">
      <c r="A62" s="96" t="s">
        <v>724</v>
      </c>
      <c r="B62" s="57"/>
      <c r="C62" s="57"/>
      <c r="D62" s="57"/>
      <c r="E62" s="57"/>
      <c r="F62" s="57"/>
      <c r="G62" s="57"/>
      <c r="H62" s="57"/>
      <c r="I62" s="58"/>
    </row>
    <row r="63" spans="1:9" x14ac:dyDescent="0.3">
      <c r="A63" s="34"/>
      <c r="B63" s="3"/>
      <c r="C63" s="3"/>
      <c r="D63" s="3"/>
      <c r="E63" s="3"/>
      <c r="F63" s="3"/>
      <c r="G63" s="3"/>
      <c r="H63" s="3"/>
      <c r="I63" s="35"/>
    </row>
    <row r="64" spans="1:9" ht="15.75" customHeight="1" x14ac:dyDescent="0.3">
      <c r="A64" s="56" t="s">
        <v>139</v>
      </c>
      <c r="B64" s="57"/>
      <c r="C64" s="57"/>
      <c r="D64" s="57"/>
      <c r="E64" s="57"/>
      <c r="F64" s="57"/>
      <c r="G64" s="57"/>
      <c r="H64" s="57"/>
      <c r="I64" s="58"/>
    </row>
    <row r="65" spans="1:9" ht="24" customHeight="1" x14ac:dyDescent="0.3">
      <c r="A65" s="20" t="s">
        <v>21</v>
      </c>
      <c r="B65" s="4" t="s">
        <v>22</v>
      </c>
      <c r="C65" s="4" t="s">
        <v>23</v>
      </c>
      <c r="D65" s="4" t="s">
        <v>24</v>
      </c>
      <c r="E65" s="4"/>
      <c r="F65" s="4"/>
      <c r="G65" s="4"/>
      <c r="H65" s="4"/>
      <c r="I65" s="21"/>
    </row>
    <row r="66" spans="1:9" ht="30" customHeight="1" x14ac:dyDescent="0.3">
      <c r="A66" s="22" t="s">
        <v>162</v>
      </c>
      <c r="B66" s="5" t="s">
        <v>725</v>
      </c>
      <c r="C66" s="5" t="s">
        <v>78</v>
      </c>
      <c r="D66" s="5" t="s">
        <v>726</v>
      </c>
      <c r="E66" s="6"/>
      <c r="F66" s="6"/>
      <c r="G66" s="6"/>
      <c r="H66" s="6"/>
      <c r="I66" s="23"/>
    </row>
    <row r="67" spans="1:9" ht="30" customHeight="1" x14ac:dyDescent="0.3">
      <c r="A67" s="22" t="s">
        <v>727</v>
      </c>
      <c r="B67" s="5" t="s">
        <v>141</v>
      </c>
      <c r="C67" s="5" t="s">
        <v>78</v>
      </c>
      <c r="D67" s="5" t="s">
        <v>728</v>
      </c>
      <c r="E67" s="6"/>
      <c r="F67" s="6"/>
      <c r="G67" s="6"/>
      <c r="H67" s="6"/>
      <c r="I67" s="23"/>
    </row>
    <row r="68" spans="1:9" ht="30" customHeight="1" x14ac:dyDescent="0.3">
      <c r="A68" s="22" t="s">
        <v>729</v>
      </c>
      <c r="B68" s="5" t="s">
        <v>682</v>
      </c>
      <c r="C68" s="5" t="s">
        <v>78</v>
      </c>
      <c r="D68" s="5" t="s">
        <v>680</v>
      </c>
      <c r="E68" s="6"/>
      <c r="F68" s="6"/>
      <c r="G68" s="6"/>
      <c r="H68" s="6"/>
      <c r="I68" s="23"/>
    </row>
    <row r="69" spans="1:9" ht="30" customHeight="1" x14ac:dyDescent="0.3">
      <c r="A69" s="22" t="s">
        <v>730</v>
      </c>
      <c r="B69" s="5" t="s">
        <v>682</v>
      </c>
      <c r="C69" s="5" t="s">
        <v>78</v>
      </c>
      <c r="D69" s="5" t="s">
        <v>685</v>
      </c>
      <c r="E69" s="6"/>
      <c r="F69" s="6"/>
      <c r="G69" s="6"/>
      <c r="H69" s="6"/>
      <c r="I69" s="23"/>
    </row>
    <row r="70" spans="1:9" ht="30" customHeight="1" x14ac:dyDescent="0.3">
      <c r="A70" s="22" t="s">
        <v>731</v>
      </c>
      <c r="B70" s="5" t="s">
        <v>682</v>
      </c>
      <c r="C70" s="5" t="s">
        <v>78</v>
      </c>
      <c r="D70" s="5" t="s">
        <v>732</v>
      </c>
      <c r="E70" s="6"/>
      <c r="F70" s="6"/>
      <c r="G70" s="6"/>
      <c r="H70" s="6"/>
      <c r="I70" s="23"/>
    </row>
    <row r="71" spans="1:9" ht="30" customHeight="1" x14ac:dyDescent="0.3">
      <c r="A71" s="22" t="s">
        <v>733</v>
      </c>
      <c r="B71" s="5" t="s">
        <v>682</v>
      </c>
      <c r="C71" s="5" t="s">
        <v>78</v>
      </c>
      <c r="D71" s="5" t="s">
        <v>734</v>
      </c>
      <c r="E71" s="6"/>
      <c r="F71" s="6"/>
      <c r="G71" s="6"/>
      <c r="H71" s="6"/>
      <c r="I71" s="23"/>
    </row>
    <row r="72" spans="1:9" ht="30" customHeight="1" x14ac:dyDescent="0.3">
      <c r="A72" s="22" t="s">
        <v>735</v>
      </c>
      <c r="B72" s="5" t="s">
        <v>99</v>
      </c>
      <c r="C72" s="5" t="s">
        <v>78</v>
      </c>
      <c r="D72" s="5" t="s">
        <v>692</v>
      </c>
      <c r="E72" s="6"/>
      <c r="F72" s="6"/>
      <c r="G72" s="6"/>
      <c r="H72" s="6"/>
      <c r="I72" s="23"/>
    </row>
    <row r="73" spans="1:9" x14ac:dyDescent="0.3">
      <c r="A73" s="97" t="s">
        <v>166</v>
      </c>
      <c r="B73" s="57"/>
      <c r="C73" s="57"/>
      <c r="D73" s="58"/>
      <c r="E73" s="7" t="str">
        <f>IFERROR(AVERAGE(E66:E72),"")</f>
        <v/>
      </c>
      <c r="F73" s="7" t="str">
        <f>IFERROR(AVERAGE(F66:F72),"")</f>
        <v/>
      </c>
      <c r="G73" s="7" t="str">
        <f>IFERROR(AVERAGE(G66:G72),"")</f>
        <v/>
      </c>
      <c r="H73" s="7" t="str">
        <f>IFERROR(AVERAGE(H66:H72),"")</f>
        <v/>
      </c>
      <c r="I73" s="24" t="str">
        <f>IFERROR(AVERAGE(I66:I72),"")</f>
        <v/>
      </c>
    </row>
    <row r="74" spans="1:9" x14ac:dyDescent="0.3">
      <c r="A74" s="96" t="s">
        <v>736</v>
      </c>
      <c r="B74" s="57"/>
      <c r="C74" s="57"/>
      <c r="D74" s="57"/>
      <c r="E74" s="57"/>
      <c r="F74" s="57"/>
      <c r="G74" s="57"/>
      <c r="H74" s="57"/>
      <c r="I74" s="58"/>
    </row>
    <row r="75" spans="1:9" x14ac:dyDescent="0.3">
      <c r="A75" s="96" t="s">
        <v>737</v>
      </c>
      <c r="B75" s="57"/>
      <c r="C75" s="57"/>
      <c r="D75" s="57"/>
      <c r="E75" s="57"/>
      <c r="F75" s="57"/>
      <c r="G75" s="57"/>
      <c r="H75" s="57"/>
      <c r="I75" s="58"/>
    </row>
    <row r="76" spans="1:9" x14ac:dyDescent="0.3">
      <c r="A76" s="96" t="s">
        <v>738</v>
      </c>
      <c r="B76" s="57"/>
      <c r="C76" s="57"/>
      <c r="D76" s="57"/>
      <c r="E76" s="57"/>
      <c r="F76" s="57"/>
      <c r="G76" s="57"/>
      <c r="H76" s="57"/>
      <c r="I76" s="58"/>
    </row>
    <row r="77" spans="1:9" x14ac:dyDescent="0.3">
      <c r="A77" s="34"/>
      <c r="B77" s="3"/>
      <c r="C77" s="3"/>
      <c r="D77" s="3"/>
      <c r="E77" s="3"/>
      <c r="F77" s="3"/>
      <c r="G77" s="3"/>
      <c r="H77" s="3"/>
      <c r="I77" s="35"/>
    </row>
    <row r="78" spans="1:9" ht="15.75" customHeight="1" x14ac:dyDescent="0.3">
      <c r="A78" s="56" t="s">
        <v>167</v>
      </c>
      <c r="B78" s="57"/>
      <c r="C78" s="57"/>
      <c r="D78" s="57"/>
      <c r="E78" s="57"/>
      <c r="F78" s="57"/>
      <c r="G78" s="57"/>
      <c r="H78" s="57"/>
      <c r="I78" s="58"/>
    </row>
    <row r="79" spans="1:9" ht="24" customHeight="1" x14ac:dyDescent="0.3">
      <c r="A79" s="20" t="s">
        <v>21</v>
      </c>
      <c r="B79" s="4" t="s">
        <v>22</v>
      </c>
      <c r="C79" s="4" t="s">
        <v>23</v>
      </c>
      <c r="D79" s="4" t="s">
        <v>24</v>
      </c>
      <c r="E79" s="4"/>
      <c r="F79" s="4"/>
      <c r="G79" s="4"/>
      <c r="H79" s="4"/>
      <c r="I79" s="21"/>
    </row>
    <row r="80" spans="1:9" ht="30" customHeight="1" x14ac:dyDescent="0.3">
      <c r="A80" s="22" t="s">
        <v>739</v>
      </c>
      <c r="B80" s="5" t="s">
        <v>740</v>
      </c>
      <c r="C80" s="5" t="s">
        <v>78</v>
      </c>
      <c r="D80" s="5" t="s">
        <v>741</v>
      </c>
      <c r="E80" s="6"/>
      <c r="F80" s="6"/>
      <c r="G80" s="6"/>
      <c r="H80" s="6"/>
      <c r="I80" s="23"/>
    </row>
    <row r="81" spans="1:9" ht="30" customHeight="1" x14ac:dyDescent="0.3">
      <c r="A81" s="22" t="s">
        <v>180</v>
      </c>
      <c r="B81" s="5" t="s">
        <v>181</v>
      </c>
      <c r="C81" s="5" t="s">
        <v>182</v>
      </c>
      <c r="D81" s="5" t="s">
        <v>183</v>
      </c>
      <c r="E81" s="6"/>
      <c r="F81" s="6"/>
      <c r="G81" s="6"/>
      <c r="H81" s="6"/>
      <c r="I81" s="23"/>
    </row>
    <row r="82" spans="1:9" ht="30" customHeight="1" x14ac:dyDescent="0.3">
      <c r="A82" s="22" t="s">
        <v>742</v>
      </c>
      <c r="B82" s="5" t="s">
        <v>682</v>
      </c>
      <c r="C82" s="5" t="s">
        <v>78</v>
      </c>
      <c r="D82" s="5" t="s">
        <v>680</v>
      </c>
      <c r="E82" s="6"/>
      <c r="F82" s="6"/>
      <c r="G82" s="6"/>
      <c r="H82" s="6"/>
      <c r="I82" s="23"/>
    </row>
    <row r="83" spans="1:9" ht="30" customHeight="1" x14ac:dyDescent="0.3">
      <c r="A83" s="22" t="s">
        <v>743</v>
      </c>
      <c r="B83" s="5" t="s">
        <v>682</v>
      </c>
      <c r="C83" s="5" t="s">
        <v>78</v>
      </c>
      <c r="D83" s="5" t="s">
        <v>744</v>
      </c>
      <c r="E83" s="6"/>
      <c r="F83" s="6"/>
      <c r="G83" s="6"/>
      <c r="H83" s="6"/>
      <c r="I83" s="23"/>
    </row>
    <row r="84" spans="1:9" ht="30" customHeight="1" x14ac:dyDescent="0.3">
      <c r="A84" s="22" t="s">
        <v>745</v>
      </c>
      <c r="B84" s="5" t="s">
        <v>177</v>
      </c>
      <c r="C84" s="5" t="s">
        <v>746</v>
      </c>
      <c r="D84" s="5" t="s">
        <v>747</v>
      </c>
      <c r="E84" s="6"/>
      <c r="F84" s="6"/>
      <c r="G84" s="6"/>
      <c r="H84" s="6"/>
      <c r="I84" s="23"/>
    </row>
    <row r="85" spans="1:9" x14ac:dyDescent="0.3">
      <c r="A85" s="97" t="s">
        <v>184</v>
      </c>
      <c r="B85" s="57"/>
      <c r="C85" s="57"/>
      <c r="D85" s="58"/>
      <c r="E85" s="7" t="str">
        <f>IFERROR(AVERAGE(E80:E84),"")</f>
        <v/>
      </c>
      <c r="F85" s="7" t="str">
        <f>IFERROR(AVERAGE(F80:F84),"")</f>
        <v/>
      </c>
      <c r="G85" s="7" t="str">
        <f>IFERROR(AVERAGE(G80:G84),"")</f>
        <v/>
      </c>
      <c r="H85" s="7" t="str">
        <f>IFERROR(AVERAGE(H80:H84),"")</f>
        <v/>
      </c>
      <c r="I85" s="24" t="str">
        <f>IFERROR(AVERAGE(I80:I84),"")</f>
        <v/>
      </c>
    </row>
    <row r="86" spans="1:9" x14ac:dyDescent="0.3">
      <c r="A86" s="34"/>
      <c r="B86" s="3"/>
      <c r="C86" s="3"/>
      <c r="D86" s="3"/>
      <c r="E86" s="3"/>
      <c r="F86" s="3"/>
      <c r="G86" s="3"/>
      <c r="H86" s="3"/>
      <c r="I86" s="35"/>
    </row>
    <row r="87" spans="1:9" ht="15.75" customHeight="1" x14ac:dyDescent="0.3">
      <c r="A87" s="56" t="s">
        <v>185</v>
      </c>
      <c r="B87" s="57"/>
      <c r="C87" s="57"/>
      <c r="D87" s="57"/>
      <c r="E87" s="57"/>
      <c r="F87" s="57"/>
      <c r="G87" s="57"/>
      <c r="H87" s="57"/>
      <c r="I87" s="58"/>
    </row>
    <row r="88" spans="1:9" ht="24" customHeight="1" x14ac:dyDescent="0.3">
      <c r="A88" s="20" t="s">
        <v>21</v>
      </c>
      <c r="B88" s="4" t="s">
        <v>22</v>
      </c>
      <c r="C88" s="4" t="s">
        <v>23</v>
      </c>
      <c r="D88" s="4" t="s">
        <v>24</v>
      </c>
      <c r="E88" s="4"/>
      <c r="F88" s="4"/>
      <c r="G88" s="4"/>
      <c r="H88" s="4"/>
      <c r="I88" s="21"/>
    </row>
    <row r="89" spans="1:9" ht="19.5" customHeight="1" x14ac:dyDescent="0.3">
      <c r="A89" s="25" t="s">
        <v>186</v>
      </c>
      <c r="B89" s="8" t="s">
        <v>187</v>
      </c>
      <c r="C89" s="8" t="s">
        <v>188</v>
      </c>
      <c r="D89" s="8" t="s">
        <v>189</v>
      </c>
      <c r="E89" s="9"/>
      <c r="F89" s="9"/>
      <c r="G89" s="9"/>
      <c r="H89" s="9"/>
      <c r="I89" s="26"/>
    </row>
    <row r="90" spans="1:9" x14ac:dyDescent="0.3">
      <c r="A90" s="34"/>
      <c r="B90" s="3"/>
      <c r="C90" s="3"/>
      <c r="D90" s="3"/>
      <c r="E90" s="3"/>
      <c r="F90" s="3"/>
      <c r="G90" s="3"/>
      <c r="H90" s="3"/>
      <c r="I90" s="35"/>
    </row>
    <row r="91" spans="1:9" ht="15.75" customHeight="1" x14ac:dyDescent="0.3">
      <c r="A91" s="68" t="s">
        <v>190</v>
      </c>
      <c r="B91" s="57"/>
      <c r="C91" s="57"/>
      <c r="D91" s="57"/>
      <c r="E91" s="57"/>
      <c r="F91" s="57"/>
      <c r="G91" s="57"/>
      <c r="H91" s="57"/>
      <c r="I91" s="58"/>
    </row>
    <row r="92" spans="1:9" x14ac:dyDescent="0.3">
      <c r="A92" s="98" t="s">
        <v>191</v>
      </c>
      <c r="B92" s="57"/>
      <c r="C92" s="57"/>
      <c r="D92" s="58"/>
      <c r="E92" s="10"/>
      <c r="F92" s="10"/>
      <c r="G92" s="10"/>
      <c r="H92" s="10"/>
      <c r="I92" s="27"/>
    </row>
    <row r="93" spans="1:9" x14ac:dyDescent="0.3">
      <c r="A93" s="97" t="s">
        <v>192</v>
      </c>
      <c r="B93" s="57"/>
      <c r="C93" s="57"/>
      <c r="D93" s="58"/>
      <c r="E93" s="11" t="str">
        <f>IFERROR(AVERAGE(E17:E23,E29:E33,E39:E44,E52:E60,E66:E72,E80:E84),"")</f>
        <v/>
      </c>
      <c r="F93" s="11" t="str">
        <f>IFERROR(AVERAGE(F17:F23,F29:F33,F39:F44,F52:F60,F66:F72,F80:F84),"")</f>
        <v/>
      </c>
      <c r="G93" s="11" t="str">
        <f>IFERROR(AVERAGE(G17:G23,G29:G33,G39:G44,G52:G60,G66:G72,G80:G84),"")</f>
        <v/>
      </c>
      <c r="H93" s="11" t="str">
        <f>IFERROR(AVERAGE(H17:H23,H29:H33,H39:H44,H52:H60,H66:H72,H80:H84),"")</f>
        <v/>
      </c>
      <c r="I93" s="28" t="str">
        <f>IFERROR(AVERAGE(I17:I23,I29:I33,I39:I44,I52:I60,I66:I72,I80:I84),"")</f>
        <v/>
      </c>
    </row>
    <row r="94" spans="1:9" x14ac:dyDescent="0.3">
      <c r="A94" s="97" t="s">
        <v>193</v>
      </c>
      <c r="B94" s="57"/>
      <c r="C94" s="57"/>
      <c r="D94" s="58"/>
      <c r="E94" s="11">
        <f>IFERROR(E89,"")</f>
        <v>0</v>
      </c>
      <c r="F94" s="11">
        <f>IFERROR(F89,"")</f>
        <v>0</v>
      </c>
      <c r="G94" s="11">
        <f>IFERROR(G89,"")</f>
        <v>0</v>
      </c>
      <c r="H94" s="11">
        <f>IFERROR(H89,"")</f>
        <v>0</v>
      </c>
      <c r="I94" s="28">
        <f>IFERROR(I89,"")</f>
        <v>0</v>
      </c>
    </row>
    <row r="95" spans="1:9" x14ac:dyDescent="0.3">
      <c r="A95" s="97" t="s">
        <v>194</v>
      </c>
      <c r="B95" s="57"/>
      <c r="C95" s="57"/>
      <c r="D95" s="58"/>
      <c r="E95" s="7">
        <f>IFERROR(AVERAGE(E93,E94),"")</f>
        <v>0</v>
      </c>
      <c r="F95" s="7">
        <f>IFERROR(AVERAGE(F93,F94),"")</f>
        <v>0</v>
      </c>
      <c r="G95" s="7">
        <f>IFERROR(AVERAGE(G93,G94),"")</f>
        <v>0</v>
      </c>
      <c r="H95" s="7">
        <f>IFERROR(AVERAGE(H93,H94),"")</f>
        <v>0</v>
      </c>
      <c r="I95" s="24">
        <f>IFERROR(AVERAGE(I93,I94),"")</f>
        <v>0</v>
      </c>
    </row>
    <row r="96" spans="1:9" x14ac:dyDescent="0.3">
      <c r="A96" s="96" t="s">
        <v>195</v>
      </c>
      <c r="B96" s="57"/>
      <c r="C96" s="57"/>
      <c r="D96" s="58"/>
      <c r="E96" s="12">
        <f>IFERROR(ABS(E95-3),"")</f>
        <v>3</v>
      </c>
      <c r="F96" s="12">
        <f>IFERROR(ABS(F95-3),"")</f>
        <v>3</v>
      </c>
      <c r="G96" s="12">
        <f>IFERROR(ABS(G95-3),"")</f>
        <v>3</v>
      </c>
      <c r="H96" s="12">
        <f>IFERROR(ABS(H95-3),"")</f>
        <v>3</v>
      </c>
      <c r="I96" s="29">
        <f>IFERROR(ABS(I95-3),"")</f>
        <v>3</v>
      </c>
    </row>
    <row r="97" spans="1:9" x14ac:dyDescent="0.3">
      <c r="A97" s="97" t="s">
        <v>196</v>
      </c>
      <c r="B97" s="57"/>
      <c r="C97" s="57"/>
      <c r="D97" s="58"/>
      <c r="E97" s="10">
        <f>IFERROR(RANK(E96,$E$96:$I$96,1),"")</f>
        <v>1</v>
      </c>
      <c r="F97" s="10">
        <f>IFERROR(RANK(F96,$E$96:$I$96,1),"")</f>
        <v>1</v>
      </c>
      <c r="G97" s="10">
        <f>IFERROR(RANK(G96,$E$96:$I$96,1),"")</f>
        <v>1</v>
      </c>
      <c r="H97" s="10">
        <f>IFERROR(RANK(H96,$E$96:$I$96,1),"")</f>
        <v>1</v>
      </c>
      <c r="I97" s="27">
        <f>IFERROR(RANK(I96,$E$96:$I$96,1),"")</f>
        <v>1</v>
      </c>
    </row>
    <row r="98" spans="1:9" x14ac:dyDescent="0.3">
      <c r="A98" s="34"/>
      <c r="B98" s="3"/>
      <c r="C98" s="3"/>
      <c r="D98" s="3"/>
      <c r="E98" s="3"/>
      <c r="F98" s="3"/>
      <c r="G98" s="3"/>
      <c r="H98" s="3"/>
      <c r="I98" s="35"/>
    </row>
    <row r="99" spans="1:9" x14ac:dyDescent="0.3">
      <c r="A99" s="69" t="s">
        <v>197</v>
      </c>
      <c r="B99" s="57"/>
      <c r="C99" s="57"/>
      <c r="D99" s="57"/>
      <c r="E99" s="57"/>
      <c r="F99" s="57"/>
      <c r="G99" s="57"/>
      <c r="H99" s="57"/>
      <c r="I99" s="58"/>
    </row>
    <row r="100" spans="1:9" ht="18" customHeight="1" x14ac:dyDescent="0.3">
      <c r="A100" s="36" t="s">
        <v>198</v>
      </c>
      <c r="B100" s="62"/>
      <c r="C100" s="57"/>
      <c r="D100" s="57"/>
      <c r="E100" s="57"/>
      <c r="F100" s="57"/>
      <c r="G100" s="57"/>
      <c r="H100" s="57"/>
      <c r="I100" s="58"/>
    </row>
    <row r="101" spans="1:9" ht="18" customHeight="1" x14ac:dyDescent="0.3">
      <c r="A101" s="36" t="s">
        <v>199</v>
      </c>
      <c r="B101" s="62"/>
      <c r="C101" s="57"/>
      <c r="D101" s="57"/>
      <c r="E101" s="57"/>
      <c r="F101" s="57"/>
      <c r="G101" s="57"/>
      <c r="H101" s="57"/>
      <c r="I101" s="58"/>
    </row>
    <row r="102" spans="1:9" ht="18" customHeight="1" x14ac:dyDescent="0.3">
      <c r="A102" s="36" t="s">
        <v>200</v>
      </c>
      <c r="B102" s="62"/>
      <c r="C102" s="57"/>
      <c r="D102" s="57"/>
      <c r="E102" s="57"/>
      <c r="F102" s="57"/>
      <c r="G102" s="57"/>
      <c r="H102" s="57"/>
      <c r="I102" s="58"/>
    </row>
    <row r="103" spans="1:9" ht="18" customHeight="1" x14ac:dyDescent="0.3">
      <c r="A103" s="36" t="s">
        <v>201</v>
      </c>
      <c r="B103" s="62"/>
      <c r="C103" s="57"/>
      <c r="D103" s="57"/>
      <c r="E103" s="57"/>
      <c r="F103" s="57"/>
      <c r="G103" s="57"/>
      <c r="H103" s="57"/>
      <c r="I103" s="58"/>
    </row>
    <row r="104" spans="1:9" ht="18" customHeight="1" x14ac:dyDescent="0.3">
      <c r="A104" s="36" t="s">
        <v>202</v>
      </c>
      <c r="B104" s="62"/>
      <c r="C104" s="57"/>
      <c r="D104" s="57"/>
      <c r="E104" s="57"/>
      <c r="F104" s="57"/>
      <c r="G104" s="57"/>
      <c r="H104" s="57"/>
      <c r="I104" s="58"/>
    </row>
    <row r="105" spans="1:9" x14ac:dyDescent="0.3">
      <c r="A105" s="34"/>
      <c r="B105" s="3"/>
      <c r="C105" s="3"/>
      <c r="D105" s="3"/>
      <c r="E105" s="3"/>
      <c r="F105" s="3"/>
      <c r="G105" s="3"/>
      <c r="H105" s="3"/>
      <c r="I105" s="35"/>
    </row>
    <row r="106" spans="1:9" ht="15" customHeight="1" thickBot="1" x14ac:dyDescent="0.35">
      <c r="A106" s="41" t="s">
        <v>203</v>
      </c>
      <c r="B106" s="53"/>
      <c r="C106" s="55"/>
      <c r="D106" s="42" t="s">
        <v>204</v>
      </c>
      <c r="E106" s="53"/>
      <c r="F106" s="54"/>
      <c r="G106" s="54"/>
      <c r="H106" s="55"/>
      <c r="I106" s="43" t="s">
        <v>4</v>
      </c>
    </row>
  </sheetData>
  <mergeCells count="50">
    <mergeCell ref="A96:D96"/>
    <mergeCell ref="A27:I27"/>
    <mergeCell ref="A2:I2"/>
    <mergeCell ref="A5:C5"/>
    <mergeCell ref="A34:D34"/>
    <mergeCell ref="A47:I47"/>
    <mergeCell ref="A76:I76"/>
    <mergeCell ref="E6:I6"/>
    <mergeCell ref="D5:I5"/>
    <mergeCell ref="A9:I9"/>
    <mergeCell ref="B6:C6"/>
    <mergeCell ref="E7:I7"/>
    <mergeCell ref="A3:I3"/>
    <mergeCell ref="A74:I74"/>
    <mergeCell ref="A50:I50"/>
    <mergeCell ref="A10:D10"/>
    <mergeCell ref="A25:I25"/>
    <mergeCell ref="B7:C7"/>
    <mergeCell ref="A94:D94"/>
    <mergeCell ref="A61:D61"/>
    <mergeCell ref="A13:I13"/>
    <mergeCell ref="B103:I103"/>
    <mergeCell ref="A48:I48"/>
    <mergeCell ref="A15:I15"/>
    <mergeCell ref="A64:I64"/>
    <mergeCell ref="B102:I102"/>
    <mergeCell ref="A93:D93"/>
    <mergeCell ref="A92:D92"/>
    <mergeCell ref="B100:I100"/>
    <mergeCell ref="A97:D97"/>
    <mergeCell ref="A99:I99"/>
    <mergeCell ref="A37:I37"/>
    <mergeCell ref="A46:I46"/>
    <mergeCell ref="A75:I75"/>
    <mergeCell ref="B106:C106"/>
    <mergeCell ref="A1:I1"/>
    <mergeCell ref="B104:I104"/>
    <mergeCell ref="A85:D85"/>
    <mergeCell ref="A95:D95"/>
    <mergeCell ref="A87:I87"/>
    <mergeCell ref="A78:I78"/>
    <mergeCell ref="E106:H106"/>
    <mergeCell ref="A24:D24"/>
    <mergeCell ref="A73:D73"/>
    <mergeCell ref="A11:D11"/>
    <mergeCell ref="A91:I91"/>
    <mergeCell ref="A35:I35"/>
    <mergeCell ref="B101:I101"/>
    <mergeCell ref="A62:I62"/>
    <mergeCell ref="A45:D4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19"/>
  <sheetViews>
    <sheetView showGridLines="0" zoomScaleNormal="100" workbookViewId="0">
      <selection activeCell="K11" sqref="K11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748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749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750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751</v>
      </c>
      <c r="B20" s="5" t="s">
        <v>210</v>
      </c>
      <c r="C20" s="5" t="s">
        <v>752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653</v>
      </c>
      <c r="B21" s="5" t="s">
        <v>753</v>
      </c>
      <c r="C21" s="5" t="s">
        <v>214</v>
      </c>
      <c r="D21" s="5" t="s">
        <v>754</v>
      </c>
      <c r="E21" s="6"/>
      <c r="F21" s="6"/>
      <c r="G21" s="6"/>
      <c r="H21" s="6"/>
      <c r="I21" s="23"/>
    </row>
    <row r="22" spans="1:9" ht="30" customHeight="1" x14ac:dyDescent="0.3">
      <c r="A22" s="22" t="s">
        <v>755</v>
      </c>
      <c r="B22" s="5" t="s">
        <v>217</v>
      </c>
      <c r="C22" s="5" t="s">
        <v>78</v>
      </c>
      <c r="D22" s="5" t="s">
        <v>756</v>
      </c>
      <c r="E22" s="6"/>
      <c r="F22" s="6"/>
      <c r="G22" s="6"/>
      <c r="H22" s="6"/>
      <c r="I22" s="23"/>
    </row>
    <row r="23" spans="1:9" ht="30" customHeight="1" x14ac:dyDescent="0.3">
      <c r="A23" s="22" t="s">
        <v>757</v>
      </c>
      <c r="B23" s="5" t="s">
        <v>758</v>
      </c>
      <c r="C23" s="5" t="s">
        <v>469</v>
      </c>
      <c r="D23" s="5" t="s">
        <v>759</v>
      </c>
      <c r="E23" s="6"/>
      <c r="F23" s="6"/>
      <c r="G23" s="6"/>
      <c r="H23" s="6"/>
      <c r="I23" s="23"/>
    </row>
    <row r="24" spans="1:9" ht="30" customHeight="1" x14ac:dyDescent="0.3">
      <c r="A24" s="22" t="s">
        <v>760</v>
      </c>
      <c r="B24" s="5" t="s">
        <v>761</v>
      </c>
      <c r="C24" s="5" t="s">
        <v>762</v>
      </c>
      <c r="D24" s="5" t="s">
        <v>763</v>
      </c>
      <c r="E24" s="6"/>
      <c r="F24" s="6"/>
      <c r="G24" s="6"/>
      <c r="H24" s="6"/>
      <c r="I24" s="23"/>
    </row>
    <row r="25" spans="1:9" ht="30" customHeight="1" x14ac:dyDescent="0.3">
      <c r="A25" s="22" t="s">
        <v>29</v>
      </c>
      <c r="B25" s="5" t="s">
        <v>373</v>
      </c>
      <c r="C25" s="5" t="s">
        <v>31</v>
      </c>
      <c r="D25" s="5" t="s">
        <v>227</v>
      </c>
      <c r="E25" s="6"/>
      <c r="F25" s="6"/>
      <c r="G25" s="6"/>
      <c r="H25" s="6"/>
      <c r="I25" s="23"/>
    </row>
    <row r="26" spans="1:9" ht="30" customHeight="1" x14ac:dyDescent="0.3">
      <c r="A26" s="22" t="s">
        <v>41</v>
      </c>
      <c r="B26" s="5" t="s">
        <v>236</v>
      </c>
      <c r="C26" s="5" t="s">
        <v>78</v>
      </c>
      <c r="D26" s="5" t="s">
        <v>44</v>
      </c>
      <c r="E26" s="6"/>
      <c r="F26" s="6"/>
      <c r="G26" s="6"/>
      <c r="H26" s="6"/>
      <c r="I26" s="23"/>
    </row>
    <row r="27" spans="1:9" x14ac:dyDescent="0.3">
      <c r="A27" s="97" t="s">
        <v>53</v>
      </c>
      <c r="B27" s="57"/>
      <c r="C27" s="57"/>
      <c r="D27" s="58"/>
      <c r="E27" s="7" t="str">
        <f>IFERROR(AVERAGE(E20:E26),"")</f>
        <v/>
      </c>
      <c r="F27" s="7" t="str">
        <f>IFERROR(AVERAGE(F20:F26),"")</f>
        <v/>
      </c>
      <c r="G27" s="7" t="str">
        <f>IFERROR(AVERAGE(G20:G26),"")</f>
        <v/>
      </c>
      <c r="H27" s="7" t="str">
        <f>IFERROR(AVERAGE(H20:H26),"")</f>
        <v/>
      </c>
      <c r="I27" s="24" t="str">
        <f>IFERROR(AVERAGE(I20:I26),"")</f>
        <v/>
      </c>
    </row>
    <row r="28" spans="1:9" x14ac:dyDescent="0.3">
      <c r="A28" s="96" t="s">
        <v>764</v>
      </c>
      <c r="B28" s="57"/>
      <c r="C28" s="57"/>
      <c r="D28" s="57"/>
      <c r="E28" s="57"/>
      <c r="F28" s="57"/>
      <c r="G28" s="57"/>
      <c r="H28" s="57"/>
      <c r="I28" s="58"/>
    </row>
    <row r="29" spans="1:9" x14ac:dyDescent="0.3">
      <c r="A29" s="96" t="s">
        <v>765</v>
      </c>
      <c r="B29" s="57"/>
      <c r="C29" s="57"/>
      <c r="D29" s="57"/>
      <c r="E29" s="57"/>
      <c r="F29" s="57"/>
      <c r="G29" s="57"/>
      <c r="H29" s="57"/>
      <c r="I29" s="58"/>
    </row>
    <row r="30" spans="1:9" x14ac:dyDescent="0.3">
      <c r="A30" s="34"/>
      <c r="B30" s="3"/>
      <c r="C30" s="3"/>
      <c r="D30" s="3"/>
      <c r="E30" s="3"/>
      <c r="F30" s="3"/>
      <c r="G30" s="3"/>
      <c r="H30" s="3"/>
      <c r="I30" s="35"/>
    </row>
    <row r="31" spans="1:9" ht="15.75" customHeight="1" x14ac:dyDescent="0.3">
      <c r="A31" s="56" t="s">
        <v>766</v>
      </c>
      <c r="B31" s="57"/>
      <c r="C31" s="57"/>
      <c r="D31" s="57"/>
      <c r="E31" s="57"/>
      <c r="F31" s="57"/>
      <c r="G31" s="57"/>
      <c r="H31" s="57"/>
      <c r="I31" s="58"/>
    </row>
    <row r="32" spans="1:9" ht="24" customHeight="1" x14ac:dyDescent="0.3">
      <c r="A32" s="20" t="s">
        <v>21</v>
      </c>
      <c r="B32" s="4" t="s">
        <v>22</v>
      </c>
      <c r="C32" s="4" t="s">
        <v>23</v>
      </c>
      <c r="D32" s="4" t="s">
        <v>24</v>
      </c>
      <c r="E32" s="4" t="s">
        <v>10</v>
      </c>
      <c r="F32" s="4" t="s">
        <v>11</v>
      </c>
      <c r="G32" s="4" t="s">
        <v>12</v>
      </c>
      <c r="H32" s="4" t="s">
        <v>13</v>
      </c>
      <c r="I32" s="21" t="s">
        <v>14</v>
      </c>
    </row>
    <row r="33" spans="1:9" ht="30" customHeight="1" x14ac:dyDescent="0.3">
      <c r="A33" s="22" t="s">
        <v>247</v>
      </c>
      <c r="B33" s="5" t="s">
        <v>248</v>
      </c>
      <c r="C33" s="5" t="s">
        <v>78</v>
      </c>
      <c r="D33" s="5" t="s">
        <v>767</v>
      </c>
      <c r="E33" s="6"/>
      <c r="F33" s="6"/>
      <c r="G33" s="6"/>
      <c r="H33" s="6"/>
      <c r="I33" s="23"/>
    </row>
    <row r="34" spans="1:9" ht="30" customHeight="1" x14ac:dyDescent="0.3">
      <c r="A34" s="22" t="s">
        <v>251</v>
      </c>
      <c r="B34" s="5" t="s">
        <v>768</v>
      </c>
      <c r="C34" s="5" t="s">
        <v>769</v>
      </c>
      <c r="D34" s="5" t="s">
        <v>770</v>
      </c>
      <c r="E34" s="6"/>
      <c r="F34" s="6"/>
      <c r="G34" s="6"/>
      <c r="H34" s="6"/>
      <c r="I34" s="23"/>
    </row>
    <row r="35" spans="1:9" ht="30" customHeight="1" x14ac:dyDescent="0.3">
      <c r="A35" s="22" t="s">
        <v>255</v>
      </c>
      <c r="B35" s="5" t="s">
        <v>666</v>
      </c>
      <c r="C35" s="5" t="s">
        <v>31</v>
      </c>
      <c r="D35" s="5" t="s">
        <v>257</v>
      </c>
      <c r="E35" s="6"/>
      <c r="F35" s="6"/>
      <c r="G35" s="6"/>
      <c r="H35" s="6"/>
      <c r="I35" s="23"/>
    </row>
    <row r="36" spans="1:9" ht="30" customHeight="1" x14ac:dyDescent="0.3">
      <c r="A36" s="22" t="s">
        <v>261</v>
      </c>
      <c r="B36" s="5" t="s">
        <v>61</v>
      </c>
      <c r="C36" s="5" t="s">
        <v>62</v>
      </c>
      <c r="D36" s="5" t="s">
        <v>262</v>
      </c>
      <c r="E36" s="6"/>
      <c r="F36" s="6"/>
      <c r="G36" s="6"/>
      <c r="H36" s="6"/>
      <c r="I36" s="23"/>
    </row>
    <row r="37" spans="1:9" ht="30" customHeight="1" x14ac:dyDescent="0.3">
      <c r="A37" s="22" t="s">
        <v>771</v>
      </c>
      <c r="B37" s="5" t="s">
        <v>772</v>
      </c>
      <c r="C37" s="5" t="s">
        <v>773</v>
      </c>
      <c r="D37" s="5" t="s">
        <v>774</v>
      </c>
      <c r="E37" s="6"/>
      <c r="F37" s="6"/>
      <c r="G37" s="6"/>
      <c r="H37" s="6"/>
      <c r="I37" s="23"/>
    </row>
    <row r="38" spans="1:9" ht="30" customHeight="1" x14ac:dyDescent="0.3">
      <c r="A38" s="22" t="s">
        <v>775</v>
      </c>
      <c r="B38" s="5" t="s">
        <v>776</v>
      </c>
      <c r="C38" s="5" t="s">
        <v>31</v>
      </c>
      <c r="D38" s="5" t="s">
        <v>266</v>
      </c>
      <c r="E38" s="6"/>
      <c r="F38" s="6"/>
      <c r="G38" s="6"/>
      <c r="H38" s="6"/>
      <c r="I38" s="23"/>
    </row>
    <row r="39" spans="1:9" x14ac:dyDescent="0.3">
      <c r="A39" s="97" t="s">
        <v>80</v>
      </c>
      <c r="B39" s="57"/>
      <c r="C39" s="57"/>
      <c r="D39" s="58"/>
      <c r="E39" s="7" t="str">
        <f>IFERROR(AVERAGE(E33:E38),"")</f>
        <v/>
      </c>
      <c r="F39" s="7" t="str">
        <f>IFERROR(AVERAGE(F33:F38),"")</f>
        <v/>
      </c>
      <c r="G39" s="7" t="str">
        <f>IFERROR(AVERAGE(G33:G38),"")</f>
        <v/>
      </c>
      <c r="H39" s="7" t="str">
        <f>IFERROR(AVERAGE(H33:H38),"")</f>
        <v/>
      </c>
      <c r="I39" s="24" t="str">
        <f>IFERROR(AVERAGE(I33:I38),"")</f>
        <v/>
      </c>
    </row>
    <row r="40" spans="1:9" x14ac:dyDescent="0.3">
      <c r="A40" s="96" t="s">
        <v>777</v>
      </c>
      <c r="B40" s="57"/>
      <c r="C40" s="57"/>
      <c r="D40" s="57"/>
      <c r="E40" s="57"/>
      <c r="F40" s="57"/>
      <c r="G40" s="57"/>
      <c r="H40" s="57"/>
      <c r="I40" s="58"/>
    </row>
    <row r="41" spans="1:9" x14ac:dyDescent="0.3">
      <c r="A41" s="96" t="s">
        <v>778</v>
      </c>
      <c r="B41" s="57"/>
      <c r="C41" s="57"/>
      <c r="D41" s="57"/>
      <c r="E41" s="57"/>
      <c r="F41" s="57"/>
      <c r="G41" s="57"/>
      <c r="H41" s="57"/>
      <c r="I41" s="58"/>
    </row>
    <row r="42" spans="1:9" x14ac:dyDescent="0.3">
      <c r="A42" s="34"/>
      <c r="B42" s="3"/>
      <c r="C42" s="3"/>
      <c r="D42" s="3"/>
      <c r="E42" s="3"/>
      <c r="F42" s="3"/>
      <c r="G42" s="3"/>
      <c r="H42" s="3"/>
      <c r="I42" s="35"/>
    </row>
    <row r="43" spans="1:9" ht="15.75" customHeight="1" x14ac:dyDescent="0.3">
      <c r="A43" s="56" t="s">
        <v>82</v>
      </c>
      <c r="B43" s="57"/>
      <c r="C43" s="57"/>
      <c r="D43" s="57"/>
      <c r="E43" s="57"/>
      <c r="F43" s="57"/>
      <c r="G43" s="57"/>
      <c r="H43" s="57"/>
      <c r="I43" s="58"/>
    </row>
    <row r="44" spans="1:9" ht="24" customHeight="1" x14ac:dyDescent="0.3">
      <c r="A44" s="20" t="s">
        <v>21</v>
      </c>
      <c r="B44" s="4" t="s">
        <v>22</v>
      </c>
      <c r="C44" s="4" t="s">
        <v>23</v>
      </c>
      <c r="D44" s="4" t="s">
        <v>24</v>
      </c>
      <c r="E44" s="4" t="s">
        <v>10</v>
      </c>
      <c r="F44" s="4" t="s">
        <v>11</v>
      </c>
      <c r="G44" s="4" t="s">
        <v>12</v>
      </c>
      <c r="H44" s="4" t="s">
        <v>13</v>
      </c>
      <c r="I44" s="21" t="s">
        <v>14</v>
      </c>
    </row>
    <row r="45" spans="1:9" ht="30" customHeight="1" x14ac:dyDescent="0.3">
      <c r="A45" s="22" t="s">
        <v>272</v>
      </c>
      <c r="B45" s="5" t="s">
        <v>273</v>
      </c>
      <c r="C45" s="5" t="s">
        <v>78</v>
      </c>
      <c r="D45" s="5" t="s">
        <v>274</v>
      </c>
      <c r="E45" s="6"/>
      <c r="F45" s="6"/>
      <c r="G45" s="6"/>
      <c r="H45" s="6"/>
      <c r="I45" s="23"/>
    </row>
    <row r="46" spans="1:9" ht="30" customHeight="1" x14ac:dyDescent="0.3">
      <c r="A46" s="22" t="s">
        <v>779</v>
      </c>
      <c r="B46" s="5" t="s">
        <v>780</v>
      </c>
      <c r="C46" s="5" t="s">
        <v>78</v>
      </c>
      <c r="D46" s="5" t="s">
        <v>781</v>
      </c>
      <c r="E46" s="6"/>
      <c r="F46" s="6"/>
      <c r="G46" s="6"/>
      <c r="H46" s="6"/>
      <c r="I46" s="23"/>
    </row>
    <row r="47" spans="1:9" ht="30" customHeight="1" x14ac:dyDescent="0.3">
      <c r="A47" s="22" t="s">
        <v>278</v>
      </c>
      <c r="B47" s="5" t="s">
        <v>474</v>
      </c>
      <c r="C47" s="5" t="s">
        <v>280</v>
      </c>
      <c r="D47" s="5" t="s">
        <v>401</v>
      </c>
      <c r="E47" s="6"/>
      <c r="F47" s="6"/>
      <c r="G47" s="6"/>
      <c r="H47" s="6"/>
      <c r="I47" s="23"/>
    </row>
    <row r="48" spans="1:9" ht="30" customHeight="1" x14ac:dyDescent="0.3">
      <c r="A48" s="22" t="s">
        <v>782</v>
      </c>
      <c r="B48" s="5" t="s">
        <v>286</v>
      </c>
      <c r="C48" s="5" t="s">
        <v>78</v>
      </c>
      <c r="D48" s="5" t="s">
        <v>783</v>
      </c>
      <c r="E48" s="6"/>
      <c r="F48" s="6"/>
      <c r="G48" s="6"/>
      <c r="H48" s="6"/>
      <c r="I48" s="23"/>
    </row>
    <row r="49" spans="1:9" ht="30" customHeight="1" x14ac:dyDescent="0.3">
      <c r="A49" s="22" t="s">
        <v>784</v>
      </c>
      <c r="B49" s="5" t="s">
        <v>785</v>
      </c>
      <c r="C49" s="5" t="s">
        <v>78</v>
      </c>
      <c r="D49" s="5" t="s">
        <v>786</v>
      </c>
      <c r="E49" s="6"/>
      <c r="F49" s="6"/>
      <c r="G49" s="6"/>
      <c r="H49" s="6"/>
      <c r="I49" s="23"/>
    </row>
    <row r="50" spans="1:9" ht="30" customHeight="1" x14ac:dyDescent="0.3">
      <c r="A50" s="22" t="s">
        <v>787</v>
      </c>
      <c r="B50" s="5" t="s">
        <v>99</v>
      </c>
      <c r="C50" s="5" t="s">
        <v>788</v>
      </c>
      <c r="D50" s="5" t="s">
        <v>789</v>
      </c>
      <c r="E50" s="6"/>
      <c r="F50" s="6"/>
      <c r="G50" s="6"/>
      <c r="H50" s="6"/>
      <c r="I50" s="23"/>
    </row>
    <row r="51" spans="1:9" ht="30" customHeight="1" x14ac:dyDescent="0.3">
      <c r="A51" s="22" t="s">
        <v>790</v>
      </c>
      <c r="B51" s="5" t="s">
        <v>99</v>
      </c>
      <c r="C51" s="5" t="s">
        <v>791</v>
      </c>
      <c r="D51" s="5" t="s">
        <v>792</v>
      </c>
      <c r="E51" s="6"/>
      <c r="F51" s="6"/>
      <c r="G51" s="6"/>
      <c r="H51" s="6"/>
      <c r="I51" s="23"/>
    </row>
    <row r="52" spans="1:9" ht="30" customHeight="1" x14ac:dyDescent="0.3">
      <c r="A52" s="22" t="s">
        <v>793</v>
      </c>
      <c r="B52" s="5" t="s">
        <v>99</v>
      </c>
      <c r="C52" s="5" t="s">
        <v>794</v>
      </c>
      <c r="D52" s="5" t="s">
        <v>795</v>
      </c>
      <c r="E52" s="6"/>
      <c r="F52" s="6"/>
      <c r="G52" s="6"/>
      <c r="H52" s="6"/>
      <c r="I52" s="23"/>
    </row>
    <row r="53" spans="1:9" ht="30" customHeight="1" x14ac:dyDescent="0.3">
      <c r="A53" s="22" t="s">
        <v>796</v>
      </c>
      <c r="B53" s="5" t="s">
        <v>99</v>
      </c>
      <c r="C53" s="5" t="s">
        <v>78</v>
      </c>
      <c r="D53" s="5" t="s">
        <v>797</v>
      </c>
      <c r="E53" s="6"/>
      <c r="F53" s="6"/>
      <c r="G53" s="6"/>
      <c r="H53" s="6"/>
      <c r="I53" s="23"/>
    </row>
    <row r="54" spans="1:9" x14ac:dyDescent="0.3">
      <c r="A54" s="97" t="s">
        <v>108</v>
      </c>
      <c r="B54" s="57"/>
      <c r="C54" s="57"/>
      <c r="D54" s="58"/>
      <c r="E54" s="7" t="str">
        <f>IFERROR(AVERAGE(E45:E53),"")</f>
        <v/>
      </c>
      <c r="F54" s="7" t="str">
        <f>IFERROR(AVERAGE(F45:F53),"")</f>
        <v/>
      </c>
      <c r="G54" s="7" t="str">
        <f>IFERROR(AVERAGE(G45:G53),"")</f>
        <v/>
      </c>
      <c r="H54" s="7" t="str">
        <f>IFERROR(AVERAGE(H45:H53),"")</f>
        <v/>
      </c>
      <c r="I54" s="24" t="str">
        <f>IFERROR(AVERAGE(I45:I53),"")</f>
        <v/>
      </c>
    </row>
    <row r="55" spans="1:9" x14ac:dyDescent="0.3">
      <c r="A55" s="96" t="s">
        <v>798</v>
      </c>
      <c r="B55" s="57"/>
      <c r="C55" s="57"/>
      <c r="D55" s="57"/>
      <c r="E55" s="57"/>
      <c r="F55" s="57"/>
      <c r="G55" s="57"/>
      <c r="H55" s="57"/>
      <c r="I55" s="58"/>
    </row>
    <row r="56" spans="1:9" x14ac:dyDescent="0.3">
      <c r="A56" s="96" t="s">
        <v>799</v>
      </c>
      <c r="B56" s="57"/>
      <c r="C56" s="57"/>
      <c r="D56" s="57"/>
      <c r="E56" s="57"/>
      <c r="F56" s="57"/>
      <c r="G56" s="57"/>
      <c r="H56" s="57"/>
      <c r="I56" s="58"/>
    </row>
    <row r="57" spans="1:9" x14ac:dyDescent="0.3">
      <c r="A57" s="96" t="s">
        <v>800</v>
      </c>
      <c r="B57" s="57"/>
      <c r="C57" s="57"/>
      <c r="D57" s="57"/>
      <c r="E57" s="57"/>
      <c r="F57" s="57"/>
      <c r="G57" s="57"/>
      <c r="H57" s="57"/>
      <c r="I57" s="58"/>
    </row>
    <row r="58" spans="1:9" x14ac:dyDescent="0.3">
      <c r="A58" s="96" t="s">
        <v>801</v>
      </c>
      <c r="B58" s="57"/>
      <c r="C58" s="57"/>
      <c r="D58" s="57"/>
      <c r="E58" s="57"/>
      <c r="F58" s="57"/>
      <c r="G58" s="57"/>
      <c r="H58" s="57"/>
      <c r="I58" s="58"/>
    </row>
    <row r="59" spans="1:9" x14ac:dyDescent="0.3">
      <c r="A59" s="96" t="s">
        <v>802</v>
      </c>
      <c r="B59" s="57"/>
      <c r="C59" s="57"/>
      <c r="D59" s="57"/>
      <c r="E59" s="57"/>
      <c r="F59" s="57"/>
      <c r="G59" s="57"/>
      <c r="H59" s="57"/>
      <c r="I59" s="58"/>
    </row>
    <row r="60" spans="1:9" x14ac:dyDescent="0.3">
      <c r="A60" s="34"/>
      <c r="B60" s="3"/>
      <c r="C60" s="3"/>
      <c r="D60" s="3"/>
      <c r="E60" s="3"/>
      <c r="F60" s="3"/>
      <c r="G60" s="3"/>
      <c r="H60" s="3"/>
      <c r="I60" s="35"/>
    </row>
    <row r="61" spans="1:9" ht="15.75" customHeight="1" x14ac:dyDescent="0.3">
      <c r="A61" s="56" t="s">
        <v>109</v>
      </c>
      <c r="B61" s="57"/>
      <c r="C61" s="57"/>
      <c r="D61" s="57"/>
      <c r="E61" s="57"/>
      <c r="F61" s="57"/>
      <c r="G61" s="57"/>
      <c r="H61" s="57"/>
      <c r="I61" s="58"/>
    </row>
    <row r="62" spans="1:9" ht="24" customHeight="1" x14ac:dyDescent="0.3">
      <c r="A62" s="20" t="s">
        <v>21</v>
      </c>
      <c r="B62" s="4" t="s">
        <v>22</v>
      </c>
      <c r="C62" s="4" t="s">
        <v>23</v>
      </c>
      <c r="D62" s="4" t="s">
        <v>24</v>
      </c>
      <c r="E62" s="4" t="s">
        <v>10</v>
      </c>
      <c r="F62" s="4" t="s">
        <v>11</v>
      </c>
      <c r="G62" s="4" t="s">
        <v>12</v>
      </c>
      <c r="H62" s="4" t="s">
        <v>13</v>
      </c>
      <c r="I62" s="21" t="s">
        <v>14</v>
      </c>
    </row>
    <row r="63" spans="1:9" ht="30" customHeight="1" x14ac:dyDescent="0.3">
      <c r="A63" s="22" t="s">
        <v>297</v>
      </c>
      <c r="B63" s="5" t="s">
        <v>298</v>
      </c>
      <c r="C63" s="5" t="s">
        <v>504</v>
      </c>
      <c r="D63" s="5" t="s">
        <v>299</v>
      </c>
      <c r="E63" s="6"/>
      <c r="F63" s="6"/>
      <c r="G63" s="6"/>
      <c r="H63" s="6"/>
      <c r="I63" s="23"/>
    </row>
    <row r="64" spans="1:9" ht="30" customHeight="1" x14ac:dyDescent="0.3">
      <c r="A64" s="22" t="s">
        <v>803</v>
      </c>
      <c r="B64" s="5" t="s">
        <v>804</v>
      </c>
      <c r="C64" s="5" t="s">
        <v>805</v>
      </c>
      <c r="D64" s="5" t="s">
        <v>806</v>
      </c>
      <c r="E64" s="6"/>
      <c r="F64" s="6"/>
      <c r="G64" s="6"/>
      <c r="H64" s="6"/>
      <c r="I64" s="23"/>
    </row>
    <row r="65" spans="1:9" ht="30" customHeight="1" x14ac:dyDescent="0.3">
      <c r="A65" s="22" t="s">
        <v>300</v>
      </c>
      <c r="B65" s="5" t="s">
        <v>807</v>
      </c>
      <c r="C65" s="5" t="s">
        <v>302</v>
      </c>
      <c r="D65" s="5" t="s">
        <v>808</v>
      </c>
      <c r="E65" s="6"/>
      <c r="F65" s="6"/>
      <c r="G65" s="6"/>
      <c r="H65" s="6"/>
      <c r="I65" s="23"/>
    </row>
    <row r="66" spans="1:9" ht="30" customHeight="1" x14ac:dyDescent="0.3">
      <c r="A66" s="22" t="s">
        <v>717</v>
      </c>
      <c r="B66" s="5" t="s">
        <v>718</v>
      </c>
      <c r="C66" s="5" t="s">
        <v>78</v>
      </c>
      <c r="D66" s="5" t="s">
        <v>809</v>
      </c>
      <c r="E66" s="6"/>
      <c r="F66" s="6"/>
      <c r="G66" s="6"/>
      <c r="H66" s="6"/>
      <c r="I66" s="23"/>
    </row>
    <row r="67" spans="1:9" ht="30" customHeight="1" x14ac:dyDescent="0.3">
      <c r="A67" s="22" t="s">
        <v>315</v>
      </c>
      <c r="B67" s="5" t="s">
        <v>516</v>
      </c>
      <c r="C67" s="5" t="s">
        <v>78</v>
      </c>
      <c r="D67" s="5" t="s">
        <v>517</v>
      </c>
      <c r="E67" s="6"/>
      <c r="F67" s="6"/>
      <c r="G67" s="6"/>
      <c r="H67" s="6"/>
      <c r="I67" s="23"/>
    </row>
    <row r="68" spans="1:9" x14ac:dyDescent="0.3">
      <c r="A68" s="97" t="s">
        <v>137</v>
      </c>
      <c r="B68" s="57"/>
      <c r="C68" s="57"/>
      <c r="D68" s="58"/>
      <c r="E68" s="7" t="str">
        <f>IFERROR(AVERAGE(E63:E67),"")</f>
        <v/>
      </c>
      <c r="F68" s="7" t="str">
        <f>IFERROR(AVERAGE(F63:F67),"")</f>
        <v/>
      </c>
      <c r="G68" s="7" t="str">
        <f>IFERROR(AVERAGE(G63:G67),"")</f>
        <v/>
      </c>
      <c r="H68" s="7" t="str">
        <f>IFERROR(AVERAGE(H63:H67),"")</f>
        <v/>
      </c>
      <c r="I68" s="24" t="str">
        <f>IFERROR(AVERAGE(I63:I67),"")</f>
        <v/>
      </c>
    </row>
    <row r="69" spans="1:9" x14ac:dyDescent="0.3">
      <c r="A69" s="96" t="s">
        <v>810</v>
      </c>
      <c r="B69" s="57"/>
      <c r="C69" s="57"/>
      <c r="D69" s="57"/>
      <c r="E69" s="57"/>
      <c r="F69" s="57"/>
      <c r="G69" s="57"/>
      <c r="H69" s="57"/>
      <c r="I69" s="58"/>
    </row>
    <row r="70" spans="1:9" x14ac:dyDescent="0.3">
      <c r="A70" s="96" t="s">
        <v>811</v>
      </c>
      <c r="B70" s="57"/>
      <c r="C70" s="57"/>
      <c r="D70" s="57"/>
      <c r="E70" s="57"/>
      <c r="F70" s="57"/>
      <c r="G70" s="57"/>
      <c r="H70" s="57"/>
      <c r="I70" s="58"/>
    </row>
    <row r="71" spans="1:9" x14ac:dyDescent="0.3">
      <c r="A71" s="34"/>
      <c r="B71" s="3"/>
      <c r="C71" s="3"/>
      <c r="D71" s="3"/>
      <c r="E71" s="3"/>
      <c r="F71" s="3"/>
      <c r="G71" s="3"/>
      <c r="H71" s="3"/>
      <c r="I71" s="35"/>
    </row>
    <row r="72" spans="1:9" ht="15.75" customHeight="1" x14ac:dyDescent="0.3">
      <c r="A72" s="56" t="s">
        <v>139</v>
      </c>
      <c r="B72" s="57"/>
      <c r="C72" s="57"/>
      <c r="D72" s="57"/>
      <c r="E72" s="57"/>
      <c r="F72" s="57"/>
      <c r="G72" s="57"/>
      <c r="H72" s="57"/>
      <c r="I72" s="58"/>
    </row>
    <row r="73" spans="1:9" ht="24" customHeight="1" x14ac:dyDescent="0.3">
      <c r="A73" s="20" t="s">
        <v>21</v>
      </c>
      <c r="B73" s="4" t="s">
        <v>22</v>
      </c>
      <c r="C73" s="4" t="s">
        <v>23</v>
      </c>
      <c r="D73" s="4" t="s">
        <v>24</v>
      </c>
      <c r="E73" s="4" t="s">
        <v>10</v>
      </c>
      <c r="F73" s="4" t="s">
        <v>11</v>
      </c>
      <c r="G73" s="4" t="s">
        <v>12</v>
      </c>
      <c r="H73" s="4" t="s">
        <v>13</v>
      </c>
      <c r="I73" s="21" t="s">
        <v>14</v>
      </c>
    </row>
    <row r="74" spans="1:9" ht="30" customHeight="1" x14ac:dyDescent="0.3">
      <c r="A74" s="22" t="s">
        <v>162</v>
      </c>
      <c r="B74" s="5" t="s">
        <v>320</v>
      </c>
      <c r="C74" s="5" t="s">
        <v>78</v>
      </c>
      <c r="D74" s="5" t="s">
        <v>322</v>
      </c>
      <c r="E74" s="6"/>
      <c r="F74" s="6"/>
      <c r="G74" s="6"/>
      <c r="H74" s="6"/>
      <c r="I74" s="23"/>
    </row>
    <row r="75" spans="1:9" ht="30" customHeight="1" x14ac:dyDescent="0.3">
      <c r="A75" s="22" t="s">
        <v>330</v>
      </c>
      <c r="B75" s="5" t="s">
        <v>331</v>
      </c>
      <c r="C75" s="5" t="s">
        <v>78</v>
      </c>
      <c r="D75" s="5" t="s">
        <v>812</v>
      </c>
      <c r="E75" s="6"/>
      <c r="F75" s="6"/>
      <c r="G75" s="6"/>
      <c r="H75" s="6"/>
      <c r="I75" s="23"/>
    </row>
    <row r="76" spans="1:9" ht="30" customHeight="1" x14ac:dyDescent="0.3">
      <c r="A76" s="22" t="s">
        <v>813</v>
      </c>
      <c r="B76" s="5" t="s">
        <v>814</v>
      </c>
      <c r="C76" s="5" t="s">
        <v>78</v>
      </c>
      <c r="D76" s="5" t="s">
        <v>815</v>
      </c>
      <c r="E76" s="6"/>
      <c r="F76" s="6"/>
      <c r="G76" s="6"/>
      <c r="H76" s="6"/>
      <c r="I76" s="23"/>
    </row>
    <row r="77" spans="1:9" ht="30" customHeight="1" x14ac:dyDescent="0.3">
      <c r="A77" s="22" t="s">
        <v>816</v>
      </c>
      <c r="B77" s="5" t="s">
        <v>817</v>
      </c>
      <c r="C77" s="5" t="s">
        <v>78</v>
      </c>
      <c r="D77" s="5" t="s">
        <v>818</v>
      </c>
      <c r="E77" s="6"/>
      <c r="F77" s="6"/>
      <c r="G77" s="6"/>
      <c r="H77" s="6"/>
      <c r="I77" s="23"/>
    </row>
    <row r="78" spans="1:9" ht="30" customHeight="1" x14ac:dyDescent="0.3">
      <c r="A78" s="22" t="s">
        <v>819</v>
      </c>
      <c r="B78" s="5" t="s">
        <v>820</v>
      </c>
      <c r="C78" s="5" t="s">
        <v>78</v>
      </c>
      <c r="D78" s="5" t="s">
        <v>821</v>
      </c>
      <c r="E78" s="6"/>
      <c r="F78" s="6"/>
      <c r="G78" s="6"/>
      <c r="H78" s="6"/>
      <c r="I78" s="23"/>
    </row>
    <row r="79" spans="1:9" ht="30" customHeight="1" x14ac:dyDescent="0.3">
      <c r="A79" s="22" t="s">
        <v>822</v>
      </c>
      <c r="B79" s="5" t="s">
        <v>99</v>
      </c>
      <c r="C79" s="5" t="s">
        <v>823</v>
      </c>
      <c r="D79" s="5" t="s">
        <v>824</v>
      </c>
      <c r="E79" s="6"/>
      <c r="F79" s="6"/>
      <c r="G79" s="6"/>
      <c r="H79" s="6"/>
      <c r="I79" s="23"/>
    </row>
    <row r="80" spans="1:9" ht="30" customHeight="1" x14ac:dyDescent="0.3">
      <c r="A80" s="22" t="s">
        <v>825</v>
      </c>
      <c r="B80" s="5" t="s">
        <v>682</v>
      </c>
      <c r="C80" s="5" t="s">
        <v>791</v>
      </c>
      <c r="D80" s="5" t="s">
        <v>826</v>
      </c>
      <c r="E80" s="6"/>
      <c r="F80" s="6"/>
      <c r="G80" s="6"/>
      <c r="H80" s="6"/>
      <c r="I80" s="23"/>
    </row>
    <row r="81" spans="1:9" ht="30" customHeight="1" x14ac:dyDescent="0.3">
      <c r="A81" s="22" t="s">
        <v>827</v>
      </c>
      <c r="B81" s="5" t="s">
        <v>99</v>
      </c>
      <c r="C81" s="5" t="s">
        <v>794</v>
      </c>
      <c r="D81" s="5" t="s">
        <v>795</v>
      </c>
      <c r="E81" s="6"/>
      <c r="F81" s="6"/>
      <c r="G81" s="6"/>
      <c r="H81" s="6"/>
      <c r="I81" s="23"/>
    </row>
    <row r="82" spans="1:9" ht="30" customHeight="1" x14ac:dyDescent="0.3">
      <c r="A82" s="22" t="s">
        <v>828</v>
      </c>
      <c r="B82" s="5" t="s">
        <v>99</v>
      </c>
      <c r="C82" s="5" t="s">
        <v>78</v>
      </c>
      <c r="D82" s="5" t="s">
        <v>829</v>
      </c>
      <c r="E82" s="6"/>
      <c r="F82" s="6"/>
      <c r="G82" s="6"/>
      <c r="H82" s="6"/>
      <c r="I82" s="23"/>
    </row>
    <row r="83" spans="1:9" x14ac:dyDescent="0.3">
      <c r="A83" s="97" t="s">
        <v>166</v>
      </c>
      <c r="B83" s="57"/>
      <c r="C83" s="57"/>
      <c r="D83" s="58"/>
      <c r="E83" s="7" t="str">
        <f>IFERROR(AVERAGE(E74:E82),"")</f>
        <v/>
      </c>
      <c r="F83" s="7" t="str">
        <f>IFERROR(AVERAGE(F74:F82),"")</f>
        <v/>
      </c>
      <c r="G83" s="7" t="str">
        <f>IFERROR(AVERAGE(G74:G82),"")</f>
        <v/>
      </c>
      <c r="H83" s="7" t="str">
        <f>IFERROR(AVERAGE(H74:H82),"")</f>
        <v/>
      </c>
      <c r="I83" s="24" t="str">
        <f>IFERROR(AVERAGE(I74:I82),"")</f>
        <v/>
      </c>
    </row>
    <row r="84" spans="1:9" x14ac:dyDescent="0.3">
      <c r="A84" s="96" t="s">
        <v>830</v>
      </c>
      <c r="B84" s="57"/>
      <c r="C84" s="57"/>
      <c r="D84" s="57"/>
      <c r="E84" s="57"/>
      <c r="F84" s="57"/>
      <c r="G84" s="57"/>
      <c r="H84" s="57"/>
      <c r="I84" s="58"/>
    </row>
    <row r="85" spans="1:9" x14ac:dyDescent="0.3">
      <c r="A85" s="96" t="s">
        <v>831</v>
      </c>
      <c r="B85" s="57"/>
      <c r="C85" s="57"/>
      <c r="D85" s="57"/>
      <c r="E85" s="57"/>
      <c r="F85" s="57"/>
      <c r="G85" s="57"/>
      <c r="H85" s="57"/>
      <c r="I85" s="58"/>
    </row>
    <row r="86" spans="1:9" x14ac:dyDescent="0.3">
      <c r="A86" s="96" t="s">
        <v>832</v>
      </c>
      <c r="B86" s="57"/>
      <c r="C86" s="57"/>
      <c r="D86" s="57"/>
      <c r="E86" s="57"/>
      <c r="F86" s="57"/>
      <c r="G86" s="57"/>
      <c r="H86" s="57"/>
      <c r="I86" s="58"/>
    </row>
    <row r="87" spans="1:9" x14ac:dyDescent="0.3">
      <c r="A87" s="96" t="s">
        <v>833</v>
      </c>
      <c r="B87" s="57"/>
      <c r="C87" s="57"/>
      <c r="D87" s="57"/>
      <c r="E87" s="57"/>
      <c r="F87" s="57"/>
      <c r="G87" s="57"/>
      <c r="H87" s="57"/>
      <c r="I87" s="58"/>
    </row>
    <row r="88" spans="1:9" x14ac:dyDescent="0.3">
      <c r="A88" s="96" t="s">
        <v>834</v>
      </c>
      <c r="B88" s="57"/>
      <c r="C88" s="57"/>
      <c r="D88" s="57"/>
      <c r="E88" s="57"/>
      <c r="F88" s="57"/>
      <c r="G88" s="57"/>
      <c r="H88" s="57"/>
      <c r="I88" s="58"/>
    </row>
    <row r="89" spans="1:9" x14ac:dyDescent="0.3">
      <c r="A89" s="34"/>
      <c r="B89" s="3"/>
      <c r="C89" s="3"/>
      <c r="D89" s="3"/>
      <c r="E89" s="3"/>
      <c r="F89" s="3"/>
      <c r="G89" s="3"/>
      <c r="H89" s="3"/>
      <c r="I89" s="35"/>
    </row>
    <row r="90" spans="1:9" ht="15.75" customHeight="1" x14ac:dyDescent="0.3">
      <c r="A90" s="56" t="s">
        <v>167</v>
      </c>
      <c r="B90" s="57"/>
      <c r="C90" s="57"/>
      <c r="D90" s="57"/>
      <c r="E90" s="57"/>
      <c r="F90" s="57"/>
      <c r="G90" s="57"/>
      <c r="H90" s="57"/>
      <c r="I90" s="58"/>
    </row>
    <row r="91" spans="1:9" ht="24" customHeight="1" x14ac:dyDescent="0.3">
      <c r="A91" s="20" t="s">
        <v>21</v>
      </c>
      <c r="B91" s="4" t="s">
        <v>22</v>
      </c>
      <c r="C91" s="4" t="s">
        <v>23</v>
      </c>
      <c r="D91" s="4" t="s">
        <v>24</v>
      </c>
      <c r="E91" s="4" t="s">
        <v>10</v>
      </c>
      <c r="F91" s="4" t="s">
        <v>11</v>
      </c>
      <c r="G91" s="4" t="s">
        <v>12</v>
      </c>
      <c r="H91" s="4" t="s">
        <v>13</v>
      </c>
      <c r="I91" s="21" t="s">
        <v>14</v>
      </c>
    </row>
    <row r="92" spans="1:9" ht="30" customHeight="1" x14ac:dyDescent="0.3">
      <c r="A92" s="22" t="s">
        <v>739</v>
      </c>
      <c r="B92" s="5" t="s">
        <v>835</v>
      </c>
      <c r="C92" s="5" t="s">
        <v>348</v>
      </c>
      <c r="D92" s="5" t="s">
        <v>836</v>
      </c>
      <c r="E92" s="6"/>
      <c r="F92" s="6"/>
      <c r="G92" s="6"/>
      <c r="H92" s="6"/>
      <c r="I92" s="23"/>
    </row>
    <row r="93" spans="1:9" ht="30" customHeight="1" x14ac:dyDescent="0.3">
      <c r="A93" s="22" t="s">
        <v>837</v>
      </c>
      <c r="B93" s="5" t="s">
        <v>838</v>
      </c>
      <c r="C93" s="5" t="s">
        <v>352</v>
      </c>
      <c r="D93" s="5" t="s">
        <v>839</v>
      </c>
      <c r="E93" s="6"/>
      <c r="F93" s="6"/>
      <c r="G93" s="6"/>
      <c r="H93" s="6"/>
      <c r="I93" s="23"/>
    </row>
    <row r="94" spans="1:9" ht="30" customHeight="1" x14ac:dyDescent="0.3">
      <c r="A94" s="22" t="s">
        <v>180</v>
      </c>
      <c r="B94" s="5" t="s">
        <v>181</v>
      </c>
      <c r="C94" s="5" t="s">
        <v>182</v>
      </c>
      <c r="D94" s="5" t="s">
        <v>183</v>
      </c>
      <c r="E94" s="6"/>
      <c r="F94" s="6"/>
      <c r="G94" s="6"/>
      <c r="H94" s="6"/>
      <c r="I94" s="23"/>
    </row>
    <row r="95" spans="1:9" ht="30" customHeight="1" x14ac:dyDescent="0.3">
      <c r="A95" s="22" t="s">
        <v>840</v>
      </c>
      <c r="B95" s="5" t="s">
        <v>99</v>
      </c>
      <c r="C95" s="5" t="s">
        <v>169</v>
      </c>
      <c r="D95" s="5" t="s">
        <v>792</v>
      </c>
      <c r="E95" s="6"/>
      <c r="F95" s="6"/>
      <c r="G95" s="6"/>
      <c r="H95" s="6"/>
      <c r="I95" s="23"/>
    </row>
    <row r="96" spans="1:9" x14ac:dyDescent="0.3">
      <c r="A96" s="97" t="s">
        <v>184</v>
      </c>
      <c r="B96" s="57"/>
      <c r="C96" s="57"/>
      <c r="D96" s="58"/>
      <c r="E96" s="7" t="str">
        <f>IFERROR(AVERAGE(E92:E95),"")</f>
        <v/>
      </c>
      <c r="F96" s="7" t="str">
        <f>IFERROR(AVERAGE(F92:F95),"")</f>
        <v/>
      </c>
      <c r="G96" s="7" t="str">
        <f>IFERROR(AVERAGE(G92:G95),"")</f>
        <v/>
      </c>
      <c r="H96" s="7" t="str">
        <f>IFERROR(AVERAGE(H92:H95),"")</f>
        <v/>
      </c>
      <c r="I96" s="24" t="str">
        <f>IFERROR(AVERAGE(I92:I95),"")</f>
        <v/>
      </c>
    </row>
    <row r="97" spans="1:9" x14ac:dyDescent="0.3">
      <c r="A97" s="96" t="s">
        <v>841</v>
      </c>
      <c r="B97" s="57"/>
      <c r="C97" s="57"/>
      <c r="D97" s="57"/>
      <c r="E97" s="57"/>
      <c r="F97" s="57"/>
      <c r="G97" s="57"/>
      <c r="H97" s="57"/>
      <c r="I97" s="58"/>
    </row>
    <row r="98" spans="1:9" x14ac:dyDescent="0.3">
      <c r="A98" s="96" t="s">
        <v>842</v>
      </c>
      <c r="B98" s="57"/>
      <c r="C98" s="57"/>
      <c r="D98" s="57"/>
      <c r="E98" s="57"/>
      <c r="F98" s="57"/>
      <c r="G98" s="57"/>
      <c r="H98" s="57"/>
      <c r="I98" s="58"/>
    </row>
    <row r="99" spans="1:9" x14ac:dyDescent="0.3">
      <c r="A99" s="34"/>
      <c r="B99" s="3"/>
      <c r="C99" s="3"/>
      <c r="D99" s="3"/>
      <c r="E99" s="3"/>
      <c r="F99" s="3"/>
      <c r="G99" s="3"/>
      <c r="H99" s="3"/>
      <c r="I99" s="35"/>
    </row>
    <row r="100" spans="1:9" ht="15.75" customHeight="1" x14ac:dyDescent="0.3">
      <c r="A100" s="56" t="s">
        <v>185</v>
      </c>
      <c r="B100" s="57"/>
      <c r="C100" s="57"/>
      <c r="D100" s="57"/>
      <c r="E100" s="57"/>
      <c r="F100" s="57"/>
      <c r="G100" s="57"/>
      <c r="H100" s="57"/>
      <c r="I100" s="58"/>
    </row>
    <row r="101" spans="1:9" ht="24" customHeight="1" x14ac:dyDescent="0.3">
      <c r="A101" s="20" t="s">
        <v>21</v>
      </c>
      <c r="B101" s="4" t="s">
        <v>22</v>
      </c>
      <c r="C101" s="4" t="s">
        <v>23</v>
      </c>
      <c r="D101" s="4" t="s">
        <v>24</v>
      </c>
      <c r="E101" s="4" t="s">
        <v>10</v>
      </c>
      <c r="F101" s="4" t="s">
        <v>11</v>
      </c>
      <c r="G101" s="4" t="s">
        <v>12</v>
      </c>
      <c r="H101" s="4" t="s">
        <v>13</v>
      </c>
      <c r="I101" s="21" t="s">
        <v>14</v>
      </c>
    </row>
    <row r="102" spans="1:9" ht="19.5" customHeight="1" x14ac:dyDescent="0.3">
      <c r="A102" s="25" t="s">
        <v>186</v>
      </c>
      <c r="B102" s="8" t="s">
        <v>187</v>
      </c>
      <c r="C102" s="8" t="s">
        <v>188</v>
      </c>
      <c r="D102" s="8" t="s">
        <v>189</v>
      </c>
      <c r="E102" s="9"/>
      <c r="F102" s="9"/>
      <c r="G102" s="9"/>
      <c r="H102" s="9"/>
      <c r="I102" s="26"/>
    </row>
    <row r="103" spans="1:9" x14ac:dyDescent="0.3">
      <c r="A103" s="34"/>
      <c r="B103" s="3"/>
      <c r="C103" s="3"/>
      <c r="D103" s="3"/>
      <c r="E103" s="3"/>
      <c r="F103" s="3"/>
      <c r="G103" s="3"/>
      <c r="H103" s="3"/>
      <c r="I103" s="35"/>
    </row>
    <row r="104" spans="1:9" ht="15.75" customHeight="1" x14ac:dyDescent="0.3">
      <c r="A104" s="68" t="s">
        <v>190</v>
      </c>
      <c r="B104" s="57"/>
      <c r="C104" s="57"/>
      <c r="D104" s="57"/>
      <c r="E104" s="57"/>
      <c r="F104" s="57"/>
      <c r="G104" s="57"/>
      <c r="H104" s="57"/>
      <c r="I104" s="58"/>
    </row>
    <row r="105" spans="1:9" x14ac:dyDescent="0.3">
      <c r="A105" s="98" t="s">
        <v>191</v>
      </c>
      <c r="B105" s="57"/>
      <c r="C105" s="57"/>
      <c r="D105" s="58"/>
      <c r="E105" s="10" t="s">
        <v>10</v>
      </c>
      <c r="F105" s="10" t="s">
        <v>11</v>
      </c>
      <c r="G105" s="10" t="s">
        <v>12</v>
      </c>
      <c r="H105" s="10" t="s">
        <v>13</v>
      </c>
      <c r="I105" s="27" t="s">
        <v>14</v>
      </c>
    </row>
    <row r="106" spans="1:9" x14ac:dyDescent="0.3">
      <c r="A106" s="97" t="s">
        <v>192</v>
      </c>
      <c r="B106" s="57"/>
      <c r="C106" s="57"/>
      <c r="D106" s="58"/>
      <c r="E106" s="11" t="str">
        <f>IFERROR(AVERAGE(E20:E26,E33:E38,E45:E53,E63:E67,E74:E82,E92:E95),"")</f>
        <v/>
      </c>
      <c r="F106" s="11" t="str">
        <f>IFERROR(AVERAGE(F20:F26,F33:F38,F45:F53,F63:F67,F74:F82,F92:F95),"")</f>
        <v/>
      </c>
      <c r="G106" s="11" t="str">
        <f>IFERROR(AVERAGE(G20:G26,G33:G38,G45:G53,G63:G67,G74:G82,G92:G95),"")</f>
        <v/>
      </c>
      <c r="H106" s="11" t="str">
        <f>IFERROR(AVERAGE(H20:H26,H33:H38,H45:H53,H63:H67,H74:H82,H92:H95),"")</f>
        <v/>
      </c>
      <c r="I106" s="28" t="str">
        <f>IFERROR(AVERAGE(I20:I26,I33:I38,I45:I53,I63:I67,I74:I82,I92:I95),"")</f>
        <v/>
      </c>
    </row>
    <row r="107" spans="1:9" x14ac:dyDescent="0.3">
      <c r="A107" s="97" t="s">
        <v>193</v>
      </c>
      <c r="B107" s="57"/>
      <c r="C107" s="57"/>
      <c r="D107" s="58"/>
      <c r="E107" s="11">
        <f>IFERROR(E102,"")</f>
        <v>0</v>
      </c>
      <c r="F107" s="11">
        <f>IFERROR(F102,"")</f>
        <v>0</v>
      </c>
      <c r="G107" s="11">
        <f>IFERROR(G102,"")</f>
        <v>0</v>
      </c>
      <c r="H107" s="11">
        <f>IFERROR(H102,"")</f>
        <v>0</v>
      </c>
      <c r="I107" s="28">
        <f>IFERROR(I102,"")</f>
        <v>0</v>
      </c>
    </row>
    <row r="108" spans="1:9" x14ac:dyDescent="0.3">
      <c r="A108" s="97" t="s">
        <v>194</v>
      </c>
      <c r="B108" s="57"/>
      <c r="C108" s="57"/>
      <c r="D108" s="58"/>
      <c r="E108" s="7">
        <f>IFERROR(AVERAGE(E106,E107),"")</f>
        <v>0</v>
      </c>
      <c r="F108" s="7">
        <f>IFERROR(AVERAGE(F106,F107),"")</f>
        <v>0</v>
      </c>
      <c r="G108" s="7">
        <f>IFERROR(AVERAGE(G106,G107),"")</f>
        <v>0</v>
      </c>
      <c r="H108" s="7">
        <f>IFERROR(AVERAGE(H106,H107),"")</f>
        <v>0</v>
      </c>
      <c r="I108" s="24">
        <f>IFERROR(AVERAGE(I106,I107),"")</f>
        <v>0</v>
      </c>
    </row>
    <row r="109" spans="1:9" x14ac:dyDescent="0.3">
      <c r="A109" s="96" t="s">
        <v>195</v>
      </c>
      <c r="B109" s="57"/>
      <c r="C109" s="57"/>
      <c r="D109" s="58"/>
      <c r="E109" s="12">
        <f>IFERROR(ABS(E108-3),"")</f>
        <v>3</v>
      </c>
      <c r="F109" s="12">
        <f>IFERROR(ABS(F108-3),"")</f>
        <v>3</v>
      </c>
      <c r="G109" s="12">
        <f>IFERROR(ABS(G108-3),"")</f>
        <v>3</v>
      </c>
      <c r="H109" s="12">
        <f>IFERROR(ABS(H108-3),"")</f>
        <v>3</v>
      </c>
      <c r="I109" s="29">
        <f>IFERROR(ABS(I108-3),"")</f>
        <v>3</v>
      </c>
    </row>
    <row r="110" spans="1:9" x14ac:dyDescent="0.3">
      <c r="A110" s="97" t="s">
        <v>196</v>
      </c>
      <c r="B110" s="57"/>
      <c r="C110" s="57"/>
      <c r="D110" s="58"/>
      <c r="E110" s="10">
        <f>IFERROR(RANK(E109,$E$109:$I$109,1),"")</f>
        <v>1</v>
      </c>
      <c r="F110" s="10">
        <f>IFERROR(RANK(F109,$E$109:$I$109,1),"")</f>
        <v>1</v>
      </c>
      <c r="G110" s="10">
        <f>IFERROR(RANK(G109,$E$109:$I$109,1),"")</f>
        <v>1</v>
      </c>
      <c r="H110" s="10">
        <f>IFERROR(RANK(H109,$E$109:$I$109,1),"")</f>
        <v>1</v>
      </c>
      <c r="I110" s="27">
        <f>IFERROR(RANK(I109,$E$109:$I$109,1),"")</f>
        <v>1</v>
      </c>
    </row>
    <row r="111" spans="1:9" x14ac:dyDescent="0.3">
      <c r="A111" s="34"/>
      <c r="B111" s="3"/>
      <c r="C111" s="3"/>
      <c r="D111" s="3"/>
      <c r="E111" s="3"/>
      <c r="F111" s="3"/>
      <c r="G111" s="3"/>
      <c r="H111" s="3"/>
      <c r="I111" s="35"/>
    </row>
    <row r="112" spans="1:9" x14ac:dyDescent="0.3">
      <c r="A112" s="69" t="s">
        <v>197</v>
      </c>
      <c r="B112" s="57"/>
      <c r="C112" s="57"/>
      <c r="D112" s="57"/>
      <c r="E112" s="57"/>
      <c r="F112" s="57"/>
      <c r="G112" s="57"/>
      <c r="H112" s="57"/>
      <c r="I112" s="58"/>
    </row>
    <row r="113" spans="1:9" ht="18" customHeight="1" x14ac:dyDescent="0.3">
      <c r="A113" s="36" t="s">
        <v>198</v>
      </c>
      <c r="B113" s="62"/>
      <c r="C113" s="57"/>
      <c r="D113" s="57"/>
      <c r="E113" s="57"/>
      <c r="F113" s="57"/>
      <c r="G113" s="57"/>
      <c r="H113" s="57"/>
      <c r="I113" s="58"/>
    </row>
    <row r="114" spans="1:9" ht="18" customHeight="1" x14ac:dyDescent="0.3">
      <c r="A114" s="36" t="s">
        <v>199</v>
      </c>
      <c r="B114" s="62"/>
      <c r="C114" s="57"/>
      <c r="D114" s="57"/>
      <c r="E114" s="57"/>
      <c r="F114" s="57"/>
      <c r="G114" s="57"/>
      <c r="H114" s="57"/>
      <c r="I114" s="58"/>
    </row>
    <row r="115" spans="1:9" ht="18" customHeight="1" x14ac:dyDescent="0.3">
      <c r="A115" s="36" t="s">
        <v>200</v>
      </c>
      <c r="B115" s="62"/>
      <c r="C115" s="57"/>
      <c r="D115" s="57"/>
      <c r="E115" s="57"/>
      <c r="F115" s="57"/>
      <c r="G115" s="57"/>
      <c r="H115" s="57"/>
      <c r="I115" s="58"/>
    </row>
    <row r="116" spans="1:9" ht="18" customHeight="1" x14ac:dyDescent="0.3">
      <c r="A116" s="36" t="s">
        <v>201</v>
      </c>
      <c r="B116" s="62"/>
      <c r="C116" s="57"/>
      <c r="D116" s="57"/>
      <c r="E116" s="57"/>
      <c r="F116" s="57"/>
      <c r="G116" s="57"/>
      <c r="H116" s="57"/>
      <c r="I116" s="58"/>
    </row>
    <row r="117" spans="1:9" ht="18" customHeight="1" x14ac:dyDescent="0.3">
      <c r="A117" s="36" t="s">
        <v>202</v>
      </c>
      <c r="B117" s="62"/>
      <c r="C117" s="57"/>
      <c r="D117" s="57"/>
      <c r="E117" s="57"/>
      <c r="F117" s="57"/>
      <c r="G117" s="57"/>
      <c r="H117" s="57"/>
      <c r="I117" s="58"/>
    </row>
    <row r="118" spans="1:9" x14ac:dyDescent="0.3">
      <c r="A118" s="34"/>
      <c r="B118" s="3"/>
      <c r="C118" s="3"/>
      <c r="D118" s="3"/>
      <c r="E118" s="3"/>
      <c r="F118" s="3"/>
      <c r="G118" s="3"/>
      <c r="H118" s="3"/>
      <c r="I118" s="35"/>
    </row>
    <row r="119" spans="1:9" ht="15" customHeight="1" thickBot="1" x14ac:dyDescent="0.35">
      <c r="A119" s="41" t="s">
        <v>203</v>
      </c>
      <c r="B119" s="53"/>
      <c r="C119" s="55"/>
      <c r="D119" s="42" t="s">
        <v>204</v>
      </c>
      <c r="E119" s="53"/>
      <c r="F119" s="54"/>
      <c r="G119" s="54"/>
      <c r="H119" s="55"/>
      <c r="I119" s="43" t="s">
        <v>4</v>
      </c>
    </row>
  </sheetData>
  <mergeCells count="62">
    <mergeCell ref="E119:H119"/>
    <mergeCell ref="A41:I41"/>
    <mergeCell ref="A90:I90"/>
    <mergeCell ref="A106:D106"/>
    <mergeCell ref="B7:C7"/>
    <mergeCell ref="A84:I84"/>
    <mergeCell ref="A96:D96"/>
    <mergeCell ref="A109:D109"/>
    <mergeCell ref="A18:I18"/>
    <mergeCell ref="A56:I56"/>
    <mergeCell ref="B115:I115"/>
    <mergeCell ref="A86:I86"/>
    <mergeCell ref="A104:I104"/>
    <mergeCell ref="B119:C119"/>
    <mergeCell ref="B116:I116"/>
    <mergeCell ref="A108:D108"/>
    <mergeCell ref="A3:I3"/>
    <mergeCell ref="A55:I55"/>
    <mergeCell ref="A10:D10"/>
    <mergeCell ref="A68:D68"/>
    <mergeCell ref="A13:D13"/>
    <mergeCell ref="A57:I57"/>
    <mergeCell ref="E6:I6"/>
    <mergeCell ref="A28:I28"/>
    <mergeCell ref="D5:I5"/>
    <mergeCell ref="A54:D54"/>
    <mergeCell ref="A40:I40"/>
    <mergeCell ref="A9:I9"/>
    <mergeCell ref="A31:I31"/>
    <mergeCell ref="A58:I58"/>
    <mergeCell ref="A59:I59"/>
    <mergeCell ref="B6:C6"/>
    <mergeCell ref="A11:D11"/>
    <mergeCell ref="A97:I97"/>
    <mergeCell ref="A107:D107"/>
    <mergeCell ref="A100:I100"/>
    <mergeCell ref="A72:I72"/>
    <mergeCell ref="A29:I29"/>
    <mergeCell ref="A43:I43"/>
    <mergeCell ref="A83:D83"/>
    <mergeCell ref="A85:I85"/>
    <mergeCell ref="B117:I117"/>
    <mergeCell ref="A39:D39"/>
    <mergeCell ref="A16:I16"/>
    <mergeCell ref="A110:D110"/>
    <mergeCell ref="A112:I112"/>
    <mergeCell ref="A1:I1"/>
    <mergeCell ref="A88:I88"/>
    <mergeCell ref="A70:I70"/>
    <mergeCell ref="A61:I61"/>
    <mergeCell ref="B114:I114"/>
    <mergeCell ref="A69:I69"/>
    <mergeCell ref="A87:I87"/>
    <mergeCell ref="A14:D14"/>
    <mergeCell ref="B113:I113"/>
    <mergeCell ref="A98:I98"/>
    <mergeCell ref="A27:D27"/>
    <mergeCell ref="E7:I7"/>
    <mergeCell ref="A105:D105"/>
    <mergeCell ref="A12:D12"/>
    <mergeCell ref="A2:I2"/>
    <mergeCell ref="A5:C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99"/>
  <sheetViews>
    <sheetView showGridLines="0" topLeftCell="A13" zoomScaleNormal="100" workbookViewId="0">
      <selection activeCell="C22" sqref="C22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948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843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844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845</v>
      </c>
      <c r="B20" s="5" t="s">
        <v>846</v>
      </c>
      <c r="C20" s="5" t="s">
        <v>211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29</v>
      </c>
      <c r="B21" s="5" t="s">
        <v>30</v>
      </c>
      <c r="C21" s="5" t="s">
        <v>31</v>
      </c>
      <c r="D21" s="5" t="s">
        <v>32</v>
      </c>
      <c r="E21" s="6"/>
      <c r="F21" s="6"/>
      <c r="G21" s="6"/>
      <c r="H21" s="6"/>
      <c r="I21" s="23"/>
    </row>
    <row r="22" spans="1:9" ht="30" customHeight="1" x14ac:dyDescent="0.3">
      <c r="A22" s="22" t="s">
        <v>847</v>
      </c>
      <c r="B22" s="5" t="s">
        <v>848</v>
      </c>
      <c r="C22" s="5" t="s">
        <v>849</v>
      </c>
      <c r="D22" s="5" t="s">
        <v>850</v>
      </c>
      <c r="E22" s="6"/>
      <c r="F22" s="6"/>
      <c r="G22" s="6"/>
      <c r="H22" s="6"/>
      <c r="I22" s="23"/>
    </row>
    <row r="23" spans="1:9" ht="30" customHeight="1" x14ac:dyDescent="0.3">
      <c r="A23" s="22" t="s">
        <v>573</v>
      </c>
      <c r="B23" s="5" t="s">
        <v>851</v>
      </c>
      <c r="C23" s="5" t="s">
        <v>51</v>
      </c>
      <c r="D23" s="5" t="s">
        <v>852</v>
      </c>
      <c r="E23" s="6"/>
      <c r="F23" s="6"/>
      <c r="G23" s="6"/>
      <c r="H23" s="6"/>
      <c r="I23" s="23"/>
    </row>
    <row r="24" spans="1:9" ht="30" customHeight="1" x14ac:dyDescent="0.3">
      <c r="A24" s="22" t="s">
        <v>41</v>
      </c>
      <c r="B24" s="5" t="s">
        <v>236</v>
      </c>
      <c r="C24" s="5" t="s">
        <v>43</v>
      </c>
      <c r="D24" s="5" t="s">
        <v>44</v>
      </c>
      <c r="E24" s="6"/>
      <c r="F24" s="6"/>
      <c r="G24" s="6"/>
      <c r="H24" s="6"/>
      <c r="I24" s="23"/>
    </row>
    <row r="25" spans="1:9" ht="30" customHeight="1" x14ac:dyDescent="0.3">
      <c r="A25" s="22" t="s">
        <v>45</v>
      </c>
      <c r="B25" s="5" t="s">
        <v>46</v>
      </c>
      <c r="C25" s="5" t="s">
        <v>47</v>
      </c>
      <c r="D25" s="5" t="s">
        <v>48</v>
      </c>
      <c r="E25" s="6"/>
      <c r="F25" s="6"/>
      <c r="G25" s="6"/>
      <c r="H25" s="6"/>
      <c r="I25" s="23"/>
    </row>
    <row r="26" spans="1:9" ht="30" customHeight="1" x14ac:dyDescent="0.3">
      <c r="A26" s="22" t="s">
        <v>853</v>
      </c>
      <c r="B26" s="5" t="s">
        <v>854</v>
      </c>
      <c r="C26" s="5" t="s">
        <v>855</v>
      </c>
      <c r="D26" s="5" t="s">
        <v>856</v>
      </c>
      <c r="E26" s="6"/>
      <c r="F26" s="6"/>
      <c r="G26" s="6"/>
      <c r="H26" s="6"/>
      <c r="I26" s="23"/>
    </row>
    <row r="27" spans="1:9" x14ac:dyDescent="0.3">
      <c r="A27" s="97" t="s">
        <v>53</v>
      </c>
      <c r="B27" s="57"/>
      <c r="C27" s="57"/>
      <c r="D27" s="58"/>
      <c r="E27" s="7" t="str">
        <f>IFERROR(AVERAGE(E20:E26),"")</f>
        <v/>
      </c>
      <c r="F27" s="7" t="str">
        <f>IFERROR(AVERAGE(F20:F26),"")</f>
        <v/>
      </c>
      <c r="G27" s="7" t="str">
        <f>IFERROR(AVERAGE(G20:G26),"")</f>
        <v/>
      </c>
      <c r="H27" s="7" t="str">
        <f>IFERROR(AVERAGE(H20:H26),"")</f>
        <v/>
      </c>
      <c r="I27" s="24" t="str">
        <f>IFERROR(AVERAGE(I20:I26),"")</f>
        <v/>
      </c>
    </row>
    <row r="28" spans="1:9" x14ac:dyDescent="0.3">
      <c r="A28" s="34"/>
      <c r="B28" s="3"/>
      <c r="C28" s="3"/>
      <c r="D28" s="3"/>
      <c r="E28" s="3"/>
      <c r="F28" s="3"/>
      <c r="G28" s="3"/>
      <c r="H28" s="3"/>
      <c r="I28" s="35"/>
    </row>
    <row r="29" spans="1:9" ht="15.75" customHeight="1" x14ac:dyDescent="0.3">
      <c r="A29" s="56" t="s">
        <v>857</v>
      </c>
      <c r="B29" s="57"/>
      <c r="C29" s="57"/>
      <c r="D29" s="57"/>
      <c r="E29" s="57"/>
      <c r="F29" s="57"/>
      <c r="G29" s="57"/>
      <c r="H29" s="57"/>
      <c r="I29" s="58"/>
    </row>
    <row r="30" spans="1:9" ht="24" customHeight="1" x14ac:dyDescent="0.3">
      <c r="A30" s="20" t="s">
        <v>21</v>
      </c>
      <c r="B30" s="4" t="s">
        <v>22</v>
      </c>
      <c r="C30" s="4" t="s">
        <v>23</v>
      </c>
      <c r="D30" s="4" t="s">
        <v>24</v>
      </c>
      <c r="E30" s="4" t="s">
        <v>10</v>
      </c>
      <c r="F30" s="4" t="s">
        <v>11</v>
      </c>
      <c r="G30" s="4" t="s">
        <v>12</v>
      </c>
      <c r="H30" s="4" t="s">
        <v>13</v>
      </c>
      <c r="I30" s="21" t="s">
        <v>14</v>
      </c>
    </row>
    <row r="31" spans="1:9" ht="30" customHeight="1" x14ac:dyDescent="0.3">
      <c r="A31" s="22" t="s">
        <v>858</v>
      </c>
      <c r="B31" s="5" t="s">
        <v>859</v>
      </c>
      <c r="C31" s="5" t="s">
        <v>860</v>
      </c>
      <c r="D31" s="5" t="s">
        <v>600</v>
      </c>
      <c r="E31" s="6"/>
      <c r="F31" s="6"/>
      <c r="G31" s="6"/>
      <c r="H31" s="6"/>
      <c r="I31" s="23"/>
    </row>
    <row r="32" spans="1:9" ht="30" customHeight="1" x14ac:dyDescent="0.3">
      <c r="A32" s="22" t="s">
        <v>595</v>
      </c>
      <c r="B32" s="5" t="s">
        <v>861</v>
      </c>
      <c r="C32" s="5" t="s">
        <v>593</v>
      </c>
      <c r="D32" s="5" t="s">
        <v>862</v>
      </c>
      <c r="E32" s="6"/>
      <c r="F32" s="6"/>
      <c r="G32" s="6"/>
      <c r="H32" s="6"/>
      <c r="I32" s="23"/>
    </row>
    <row r="33" spans="1:9" ht="30" customHeight="1" x14ac:dyDescent="0.3">
      <c r="A33" s="22" t="s">
        <v>863</v>
      </c>
      <c r="B33" s="5" t="s">
        <v>864</v>
      </c>
      <c r="C33" s="5" t="s">
        <v>865</v>
      </c>
      <c r="D33" s="5" t="s">
        <v>866</v>
      </c>
      <c r="E33" s="6"/>
      <c r="F33" s="6"/>
      <c r="G33" s="6"/>
      <c r="H33" s="6"/>
      <c r="I33" s="23"/>
    </row>
    <row r="34" spans="1:9" ht="30" customHeight="1" x14ac:dyDescent="0.3">
      <c r="A34" s="22" t="s">
        <v>867</v>
      </c>
      <c r="B34" s="5" t="s">
        <v>868</v>
      </c>
      <c r="C34" s="5" t="s">
        <v>869</v>
      </c>
      <c r="D34" s="5" t="s">
        <v>870</v>
      </c>
      <c r="E34" s="6"/>
      <c r="F34" s="6"/>
      <c r="G34" s="6"/>
      <c r="H34" s="6"/>
      <c r="I34" s="23"/>
    </row>
    <row r="35" spans="1:9" x14ac:dyDescent="0.3">
      <c r="A35" s="97" t="s">
        <v>80</v>
      </c>
      <c r="B35" s="57"/>
      <c r="C35" s="57"/>
      <c r="D35" s="58"/>
      <c r="E35" s="7" t="str">
        <f>IFERROR(AVERAGE(E31:E34),"")</f>
        <v/>
      </c>
      <c r="F35" s="7" t="str">
        <f>IFERROR(AVERAGE(F31:F34),"")</f>
        <v/>
      </c>
      <c r="G35" s="7" t="str">
        <f>IFERROR(AVERAGE(G31:G34),"")</f>
        <v/>
      </c>
      <c r="H35" s="7" t="str">
        <f>IFERROR(AVERAGE(H31:H34),"")</f>
        <v/>
      </c>
      <c r="I35" s="24" t="str">
        <f>IFERROR(AVERAGE(I31:I34),"")</f>
        <v/>
      </c>
    </row>
    <row r="36" spans="1:9" x14ac:dyDescent="0.3">
      <c r="A36" s="96" t="s">
        <v>871</v>
      </c>
      <c r="B36" s="57"/>
      <c r="C36" s="57"/>
      <c r="D36" s="57"/>
      <c r="E36" s="57"/>
      <c r="F36" s="57"/>
      <c r="G36" s="57"/>
      <c r="H36" s="57"/>
      <c r="I36" s="58"/>
    </row>
    <row r="37" spans="1:9" x14ac:dyDescent="0.3">
      <c r="A37" s="34"/>
      <c r="B37" s="3"/>
      <c r="C37" s="3"/>
      <c r="D37" s="3"/>
      <c r="E37" s="3"/>
      <c r="F37" s="3"/>
      <c r="G37" s="3"/>
      <c r="H37" s="3"/>
      <c r="I37" s="35"/>
    </row>
    <row r="38" spans="1:9" ht="15.75" customHeight="1" x14ac:dyDescent="0.3">
      <c r="A38" s="56" t="s">
        <v>82</v>
      </c>
      <c r="B38" s="57"/>
      <c r="C38" s="57"/>
      <c r="D38" s="57"/>
      <c r="E38" s="57"/>
      <c r="F38" s="57"/>
      <c r="G38" s="57"/>
      <c r="H38" s="57"/>
      <c r="I38" s="58"/>
    </row>
    <row r="39" spans="1:9" ht="24" customHeight="1" x14ac:dyDescent="0.3">
      <c r="A39" s="20" t="s">
        <v>21</v>
      </c>
      <c r="B39" s="4" t="s">
        <v>22</v>
      </c>
      <c r="C39" s="4" t="s">
        <v>23</v>
      </c>
      <c r="D39" s="4" t="s">
        <v>24</v>
      </c>
      <c r="E39" s="4" t="s">
        <v>10</v>
      </c>
      <c r="F39" s="4" t="s">
        <v>11</v>
      </c>
      <c r="G39" s="4" t="s">
        <v>12</v>
      </c>
      <c r="H39" s="4" t="s">
        <v>13</v>
      </c>
      <c r="I39" s="21" t="s">
        <v>14</v>
      </c>
    </row>
    <row r="40" spans="1:9" ht="30" customHeight="1" x14ac:dyDescent="0.3">
      <c r="A40" s="22" t="s">
        <v>872</v>
      </c>
      <c r="B40" s="5" t="s">
        <v>605</v>
      </c>
      <c r="C40" s="5" t="s">
        <v>606</v>
      </c>
      <c r="D40" s="5" t="s">
        <v>607</v>
      </c>
      <c r="E40" s="6"/>
      <c r="F40" s="6"/>
      <c r="G40" s="6"/>
      <c r="H40" s="6"/>
      <c r="I40" s="23"/>
    </row>
    <row r="41" spans="1:9" ht="30" customHeight="1" x14ac:dyDescent="0.3">
      <c r="A41" s="22" t="s">
        <v>873</v>
      </c>
      <c r="B41" s="5" t="s">
        <v>874</v>
      </c>
      <c r="C41" s="5" t="s">
        <v>637</v>
      </c>
      <c r="D41" s="5" t="s">
        <v>875</v>
      </c>
      <c r="E41" s="6"/>
      <c r="F41" s="6"/>
      <c r="G41" s="6"/>
      <c r="H41" s="6"/>
      <c r="I41" s="23"/>
    </row>
    <row r="42" spans="1:9" ht="30" customHeight="1" x14ac:dyDescent="0.3">
      <c r="A42" s="22" t="s">
        <v>876</v>
      </c>
      <c r="B42" s="5" t="s">
        <v>92</v>
      </c>
      <c r="C42" s="5" t="s">
        <v>93</v>
      </c>
      <c r="D42" s="5" t="s">
        <v>94</v>
      </c>
      <c r="E42" s="6"/>
      <c r="F42" s="6"/>
      <c r="G42" s="6"/>
      <c r="H42" s="6"/>
      <c r="I42" s="23"/>
    </row>
    <row r="43" spans="1:9" ht="30" customHeight="1" x14ac:dyDescent="0.3">
      <c r="A43" s="22" t="s">
        <v>608</v>
      </c>
      <c r="B43" s="5" t="s">
        <v>609</v>
      </c>
      <c r="C43" s="5" t="s">
        <v>78</v>
      </c>
      <c r="D43" s="5" t="s">
        <v>610</v>
      </c>
      <c r="E43" s="6"/>
      <c r="F43" s="6"/>
      <c r="G43" s="6"/>
      <c r="H43" s="6"/>
      <c r="I43" s="23"/>
    </row>
    <row r="44" spans="1:9" ht="30" customHeight="1" x14ac:dyDescent="0.3">
      <c r="A44" s="22" t="s">
        <v>877</v>
      </c>
      <c r="B44" s="5" t="s">
        <v>99</v>
      </c>
      <c r="C44" s="5" t="s">
        <v>878</v>
      </c>
      <c r="D44" s="5" t="s">
        <v>879</v>
      </c>
      <c r="E44" s="6"/>
      <c r="F44" s="6"/>
      <c r="G44" s="6"/>
      <c r="H44" s="6"/>
      <c r="I44" s="23"/>
    </row>
    <row r="45" spans="1:9" x14ac:dyDescent="0.3">
      <c r="A45" s="97" t="s">
        <v>108</v>
      </c>
      <c r="B45" s="57"/>
      <c r="C45" s="57"/>
      <c r="D45" s="58"/>
      <c r="E45" s="7" t="str">
        <f>IFERROR(AVERAGE(E40:E44),"")</f>
        <v/>
      </c>
      <c r="F45" s="7" t="str">
        <f>IFERROR(AVERAGE(F40:F44),"")</f>
        <v/>
      </c>
      <c r="G45" s="7" t="str">
        <f>IFERROR(AVERAGE(G40:G44),"")</f>
        <v/>
      </c>
      <c r="H45" s="7" t="str">
        <f>IFERROR(AVERAGE(H40:H44),"")</f>
        <v/>
      </c>
      <c r="I45" s="24" t="str">
        <f>IFERROR(AVERAGE(I40:I44),"")</f>
        <v/>
      </c>
    </row>
    <row r="46" spans="1:9" x14ac:dyDescent="0.3">
      <c r="A46" s="96" t="s">
        <v>880</v>
      </c>
      <c r="B46" s="57"/>
      <c r="C46" s="57"/>
      <c r="D46" s="57"/>
      <c r="E46" s="57"/>
      <c r="F46" s="57"/>
      <c r="G46" s="57"/>
      <c r="H46" s="57"/>
      <c r="I46" s="58"/>
    </row>
    <row r="47" spans="1:9" x14ac:dyDescent="0.3">
      <c r="A47" s="34"/>
      <c r="B47" s="3"/>
      <c r="C47" s="3"/>
      <c r="D47" s="3"/>
      <c r="E47" s="3"/>
      <c r="F47" s="3"/>
      <c r="G47" s="3"/>
      <c r="H47" s="3"/>
      <c r="I47" s="35"/>
    </row>
    <row r="48" spans="1:9" ht="15.75" customHeight="1" x14ac:dyDescent="0.3">
      <c r="A48" s="56" t="s">
        <v>109</v>
      </c>
      <c r="B48" s="57"/>
      <c r="C48" s="57"/>
      <c r="D48" s="57"/>
      <c r="E48" s="57"/>
      <c r="F48" s="57"/>
      <c r="G48" s="57"/>
      <c r="H48" s="57"/>
      <c r="I48" s="58"/>
    </row>
    <row r="49" spans="1:9" ht="24" customHeight="1" x14ac:dyDescent="0.3">
      <c r="A49" s="20" t="s">
        <v>21</v>
      </c>
      <c r="B49" s="4" t="s">
        <v>22</v>
      </c>
      <c r="C49" s="4" t="s">
        <v>23</v>
      </c>
      <c r="D49" s="4" t="s">
        <v>24</v>
      </c>
      <c r="E49" s="4" t="s">
        <v>10</v>
      </c>
      <c r="F49" s="4" t="s">
        <v>11</v>
      </c>
      <c r="G49" s="4" t="s">
        <v>12</v>
      </c>
      <c r="H49" s="4" t="s">
        <v>13</v>
      </c>
      <c r="I49" s="21" t="s">
        <v>14</v>
      </c>
    </row>
    <row r="50" spans="1:9" ht="30" customHeight="1" x14ac:dyDescent="0.3">
      <c r="A50" s="22" t="s">
        <v>881</v>
      </c>
      <c r="B50" s="5" t="s">
        <v>616</v>
      </c>
      <c r="C50" s="5" t="s">
        <v>617</v>
      </c>
      <c r="D50" s="5" t="s">
        <v>618</v>
      </c>
      <c r="E50" s="6"/>
      <c r="F50" s="6"/>
      <c r="G50" s="6"/>
      <c r="H50" s="6"/>
      <c r="I50" s="23"/>
    </row>
    <row r="51" spans="1:9" ht="30" customHeight="1" x14ac:dyDescent="0.3">
      <c r="A51" s="22" t="s">
        <v>882</v>
      </c>
      <c r="B51" s="5" t="s">
        <v>883</v>
      </c>
      <c r="C51" s="5" t="s">
        <v>78</v>
      </c>
      <c r="D51" s="5" t="s">
        <v>621</v>
      </c>
      <c r="E51" s="6"/>
      <c r="F51" s="6"/>
      <c r="G51" s="6"/>
      <c r="H51" s="6"/>
      <c r="I51" s="23"/>
    </row>
    <row r="52" spans="1:9" ht="30" customHeight="1" x14ac:dyDescent="0.3">
      <c r="A52" s="22" t="s">
        <v>884</v>
      </c>
      <c r="B52" s="5" t="s">
        <v>885</v>
      </c>
      <c r="C52" s="5" t="s">
        <v>886</v>
      </c>
      <c r="D52" s="5" t="s">
        <v>887</v>
      </c>
      <c r="E52" s="6"/>
      <c r="F52" s="6"/>
      <c r="G52" s="6"/>
      <c r="H52" s="6"/>
      <c r="I52" s="23"/>
    </row>
    <row r="53" spans="1:9" ht="30" customHeight="1" x14ac:dyDescent="0.3">
      <c r="A53" s="22" t="s">
        <v>888</v>
      </c>
      <c r="B53" s="5" t="s">
        <v>115</v>
      </c>
      <c r="C53" s="5" t="s">
        <v>116</v>
      </c>
      <c r="D53" s="5" t="s">
        <v>866</v>
      </c>
      <c r="E53" s="6"/>
      <c r="F53" s="6"/>
      <c r="G53" s="6"/>
      <c r="H53" s="6"/>
      <c r="I53" s="23"/>
    </row>
    <row r="54" spans="1:9" ht="30" customHeight="1" x14ac:dyDescent="0.3">
      <c r="A54" s="22" t="s">
        <v>629</v>
      </c>
      <c r="B54" s="5" t="s">
        <v>422</v>
      </c>
      <c r="C54" s="5" t="s">
        <v>78</v>
      </c>
      <c r="D54" s="5" t="s">
        <v>630</v>
      </c>
      <c r="E54" s="6"/>
      <c r="F54" s="6"/>
      <c r="G54" s="6"/>
      <c r="H54" s="6"/>
      <c r="I54" s="23"/>
    </row>
    <row r="55" spans="1:9" ht="30" customHeight="1" x14ac:dyDescent="0.3">
      <c r="A55" s="22" t="s">
        <v>129</v>
      </c>
      <c r="B55" s="5" t="s">
        <v>130</v>
      </c>
      <c r="C55" s="5" t="s">
        <v>131</v>
      </c>
      <c r="D55" s="5" t="s">
        <v>132</v>
      </c>
      <c r="E55" s="6"/>
      <c r="F55" s="6"/>
      <c r="G55" s="6"/>
      <c r="H55" s="6"/>
      <c r="I55" s="23"/>
    </row>
    <row r="56" spans="1:9" ht="30" customHeight="1" x14ac:dyDescent="0.3">
      <c r="A56" s="22" t="s">
        <v>889</v>
      </c>
      <c r="B56" s="5" t="s">
        <v>890</v>
      </c>
      <c r="C56" s="5" t="s">
        <v>891</v>
      </c>
      <c r="D56" s="5" t="s">
        <v>892</v>
      </c>
      <c r="E56" s="6"/>
      <c r="F56" s="6"/>
      <c r="G56" s="6"/>
      <c r="H56" s="6"/>
      <c r="I56" s="23"/>
    </row>
    <row r="57" spans="1:9" x14ac:dyDescent="0.3">
      <c r="A57" s="97" t="s">
        <v>137</v>
      </c>
      <c r="B57" s="57"/>
      <c r="C57" s="57"/>
      <c r="D57" s="58"/>
      <c r="E57" s="7" t="str">
        <f>IFERROR(AVERAGE(E50:E56),"")</f>
        <v/>
      </c>
      <c r="F57" s="7" t="str">
        <f>IFERROR(AVERAGE(F50:F56),"")</f>
        <v/>
      </c>
      <c r="G57" s="7" t="str">
        <f>IFERROR(AVERAGE(G50:G56),"")</f>
        <v/>
      </c>
      <c r="H57" s="7" t="str">
        <f>IFERROR(AVERAGE(H50:H56),"")</f>
        <v/>
      </c>
      <c r="I57" s="24" t="str">
        <f>IFERROR(AVERAGE(I50:I56),"")</f>
        <v/>
      </c>
    </row>
    <row r="58" spans="1:9" x14ac:dyDescent="0.3">
      <c r="A58" s="96" t="s">
        <v>893</v>
      </c>
      <c r="B58" s="57"/>
      <c r="C58" s="57"/>
      <c r="D58" s="57"/>
      <c r="E58" s="57"/>
      <c r="F58" s="57"/>
      <c r="G58" s="57"/>
      <c r="H58" s="57"/>
      <c r="I58" s="58"/>
    </row>
    <row r="59" spans="1:9" x14ac:dyDescent="0.3">
      <c r="A59" s="34"/>
      <c r="B59" s="3"/>
      <c r="C59" s="3"/>
      <c r="D59" s="3"/>
      <c r="E59" s="3"/>
      <c r="F59" s="3"/>
      <c r="G59" s="3"/>
      <c r="H59" s="3"/>
      <c r="I59" s="35"/>
    </row>
    <row r="60" spans="1:9" ht="15.75" customHeight="1" x14ac:dyDescent="0.3">
      <c r="A60" s="56" t="s">
        <v>139</v>
      </c>
      <c r="B60" s="57"/>
      <c r="C60" s="57"/>
      <c r="D60" s="57"/>
      <c r="E60" s="57"/>
      <c r="F60" s="57"/>
      <c r="G60" s="57"/>
      <c r="H60" s="57"/>
      <c r="I60" s="58"/>
    </row>
    <row r="61" spans="1:9" ht="24" customHeight="1" x14ac:dyDescent="0.3">
      <c r="A61" s="20" t="s">
        <v>21</v>
      </c>
      <c r="B61" s="4" t="s">
        <v>22</v>
      </c>
      <c r="C61" s="4" t="s">
        <v>23</v>
      </c>
      <c r="D61" s="4" t="s">
        <v>24</v>
      </c>
      <c r="E61" s="4" t="s">
        <v>10</v>
      </c>
      <c r="F61" s="4" t="s">
        <v>11</v>
      </c>
      <c r="G61" s="4" t="s">
        <v>12</v>
      </c>
      <c r="H61" s="4" t="s">
        <v>13</v>
      </c>
      <c r="I61" s="21" t="s">
        <v>14</v>
      </c>
    </row>
    <row r="62" spans="1:9" ht="30" customHeight="1" x14ac:dyDescent="0.3">
      <c r="A62" s="22" t="s">
        <v>140</v>
      </c>
      <c r="B62" s="5" t="s">
        <v>141</v>
      </c>
      <c r="C62" s="5" t="s">
        <v>142</v>
      </c>
      <c r="D62" s="5" t="s">
        <v>143</v>
      </c>
      <c r="E62" s="6"/>
      <c r="F62" s="6"/>
      <c r="G62" s="6"/>
      <c r="H62" s="6"/>
      <c r="I62" s="23"/>
    </row>
    <row r="63" spans="1:9" ht="30" customHeight="1" x14ac:dyDescent="0.3">
      <c r="A63" s="22" t="s">
        <v>144</v>
      </c>
      <c r="B63" s="5" t="s">
        <v>145</v>
      </c>
      <c r="C63" s="5" t="s">
        <v>146</v>
      </c>
      <c r="D63" s="5" t="s">
        <v>147</v>
      </c>
      <c r="E63" s="6"/>
      <c r="F63" s="6"/>
      <c r="G63" s="6"/>
      <c r="H63" s="6"/>
      <c r="I63" s="23"/>
    </row>
    <row r="64" spans="1:9" ht="30" customHeight="1" x14ac:dyDescent="0.3">
      <c r="A64" s="22" t="s">
        <v>894</v>
      </c>
      <c r="B64" s="5" t="s">
        <v>895</v>
      </c>
      <c r="C64" s="5" t="s">
        <v>637</v>
      </c>
      <c r="D64" s="5" t="s">
        <v>896</v>
      </c>
      <c r="E64" s="6"/>
      <c r="F64" s="6"/>
      <c r="G64" s="6"/>
      <c r="H64" s="6"/>
      <c r="I64" s="23"/>
    </row>
    <row r="65" spans="1:9" ht="30" customHeight="1" x14ac:dyDescent="0.3">
      <c r="A65" s="22" t="s">
        <v>151</v>
      </c>
      <c r="B65" s="5" t="s">
        <v>632</v>
      </c>
      <c r="C65" s="5" t="s">
        <v>78</v>
      </c>
      <c r="D65" s="5" t="s">
        <v>153</v>
      </c>
      <c r="E65" s="6"/>
      <c r="F65" s="6"/>
      <c r="G65" s="6"/>
      <c r="H65" s="6"/>
      <c r="I65" s="23"/>
    </row>
    <row r="66" spans="1:9" ht="30" customHeight="1" x14ac:dyDescent="0.3">
      <c r="A66" s="22" t="s">
        <v>336</v>
      </c>
      <c r="B66" s="5" t="s">
        <v>155</v>
      </c>
      <c r="C66" s="5" t="s">
        <v>156</v>
      </c>
      <c r="D66" s="5" t="s">
        <v>157</v>
      </c>
      <c r="E66" s="6"/>
      <c r="F66" s="6"/>
      <c r="G66" s="6"/>
      <c r="H66" s="6"/>
      <c r="I66" s="23"/>
    </row>
    <row r="67" spans="1:9" ht="30" customHeight="1" x14ac:dyDescent="0.3">
      <c r="A67" s="22" t="s">
        <v>897</v>
      </c>
      <c r="B67" s="5" t="s">
        <v>99</v>
      </c>
      <c r="C67" s="5" t="s">
        <v>898</v>
      </c>
      <c r="D67" s="5" t="s">
        <v>899</v>
      </c>
      <c r="E67" s="6"/>
      <c r="F67" s="6"/>
      <c r="G67" s="6"/>
      <c r="H67" s="6"/>
      <c r="I67" s="23"/>
    </row>
    <row r="68" spans="1:9" ht="30" customHeight="1" x14ac:dyDescent="0.3">
      <c r="A68" s="22" t="s">
        <v>162</v>
      </c>
      <c r="B68" s="5" t="s">
        <v>99</v>
      </c>
      <c r="C68" s="5" t="s">
        <v>93</v>
      </c>
      <c r="D68" s="5" t="s">
        <v>427</v>
      </c>
      <c r="E68" s="6"/>
      <c r="F68" s="6"/>
      <c r="G68" s="6"/>
      <c r="H68" s="6"/>
      <c r="I68" s="23"/>
    </row>
    <row r="69" spans="1:9" x14ac:dyDescent="0.3">
      <c r="A69" s="97" t="s">
        <v>166</v>
      </c>
      <c r="B69" s="57"/>
      <c r="C69" s="57"/>
      <c r="D69" s="58"/>
      <c r="E69" s="7" t="str">
        <f>IFERROR(AVERAGE(E62:E68),"")</f>
        <v/>
      </c>
      <c r="F69" s="7" t="str">
        <f>IFERROR(AVERAGE(F62:F68),"")</f>
        <v/>
      </c>
      <c r="G69" s="7" t="str">
        <f>IFERROR(AVERAGE(G62:G68),"")</f>
        <v/>
      </c>
      <c r="H69" s="7" t="str">
        <f>IFERROR(AVERAGE(H62:H68),"")</f>
        <v/>
      </c>
      <c r="I69" s="24" t="str">
        <f>IFERROR(AVERAGE(I62:I68),"")</f>
        <v/>
      </c>
    </row>
    <row r="70" spans="1:9" x14ac:dyDescent="0.3">
      <c r="A70" s="96" t="s">
        <v>900</v>
      </c>
      <c r="B70" s="57"/>
      <c r="C70" s="57"/>
      <c r="D70" s="57"/>
      <c r="E70" s="57"/>
      <c r="F70" s="57"/>
      <c r="G70" s="57"/>
      <c r="H70" s="57"/>
      <c r="I70" s="58"/>
    </row>
    <row r="71" spans="1:9" x14ac:dyDescent="0.3">
      <c r="A71" s="34"/>
      <c r="B71" s="3"/>
      <c r="C71" s="3"/>
      <c r="D71" s="3"/>
      <c r="E71" s="3"/>
      <c r="F71" s="3"/>
      <c r="G71" s="3"/>
      <c r="H71" s="3"/>
      <c r="I71" s="35"/>
    </row>
    <row r="72" spans="1:9" ht="15.75" customHeight="1" x14ac:dyDescent="0.3">
      <c r="A72" s="56" t="s">
        <v>167</v>
      </c>
      <c r="B72" s="57"/>
      <c r="C72" s="57"/>
      <c r="D72" s="57"/>
      <c r="E72" s="57"/>
      <c r="F72" s="57"/>
      <c r="G72" s="57"/>
      <c r="H72" s="57"/>
      <c r="I72" s="58"/>
    </row>
    <row r="73" spans="1:9" ht="24" customHeight="1" x14ac:dyDescent="0.3">
      <c r="A73" s="20" t="s">
        <v>21</v>
      </c>
      <c r="B73" s="4" t="s">
        <v>22</v>
      </c>
      <c r="C73" s="4" t="s">
        <v>23</v>
      </c>
      <c r="D73" s="4" t="s">
        <v>24</v>
      </c>
      <c r="E73" s="4" t="s">
        <v>10</v>
      </c>
      <c r="F73" s="4" t="s">
        <v>11</v>
      </c>
      <c r="G73" s="4" t="s">
        <v>12</v>
      </c>
      <c r="H73" s="4" t="s">
        <v>13</v>
      </c>
      <c r="I73" s="21" t="s">
        <v>14</v>
      </c>
    </row>
    <row r="74" spans="1:9" ht="30" customHeight="1" x14ac:dyDescent="0.3">
      <c r="A74" s="22" t="s">
        <v>168</v>
      </c>
      <c r="B74" s="5" t="s">
        <v>99</v>
      </c>
      <c r="C74" s="5" t="s">
        <v>169</v>
      </c>
      <c r="D74" s="5" t="s">
        <v>170</v>
      </c>
      <c r="E74" s="6"/>
      <c r="F74" s="6"/>
      <c r="G74" s="6"/>
      <c r="H74" s="6"/>
      <c r="I74" s="23"/>
    </row>
    <row r="75" spans="1:9" ht="30" customHeight="1" x14ac:dyDescent="0.3">
      <c r="A75" s="22" t="s">
        <v>176</v>
      </c>
      <c r="B75" s="5" t="s">
        <v>177</v>
      </c>
      <c r="C75" s="5" t="s">
        <v>178</v>
      </c>
      <c r="D75" s="5" t="s">
        <v>179</v>
      </c>
      <c r="E75" s="6"/>
      <c r="F75" s="6"/>
      <c r="G75" s="6"/>
      <c r="H75" s="6"/>
      <c r="I75" s="23"/>
    </row>
    <row r="76" spans="1:9" ht="30" customHeight="1" x14ac:dyDescent="0.3">
      <c r="A76" s="22" t="s">
        <v>180</v>
      </c>
      <c r="B76" s="5" t="s">
        <v>181</v>
      </c>
      <c r="C76" s="5" t="s">
        <v>182</v>
      </c>
      <c r="D76" s="5" t="s">
        <v>183</v>
      </c>
      <c r="E76" s="6"/>
      <c r="F76" s="6"/>
      <c r="G76" s="6"/>
      <c r="H76" s="6"/>
      <c r="I76" s="23"/>
    </row>
    <row r="77" spans="1:9" ht="30" customHeight="1" x14ac:dyDescent="0.3">
      <c r="A77" s="22" t="s">
        <v>901</v>
      </c>
      <c r="B77" s="5" t="s">
        <v>99</v>
      </c>
      <c r="C77" s="5" t="s">
        <v>169</v>
      </c>
      <c r="D77" s="5" t="s">
        <v>175</v>
      </c>
      <c r="E77" s="6"/>
      <c r="F77" s="6"/>
      <c r="G77" s="6"/>
      <c r="H77" s="6"/>
      <c r="I77" s="23"/>
    </row>
    <row r="78" spans="1:9" x14ac:dyDescent="0.3">
      <c r="A78" s="97" t="s">
        <v>184</v>
      </c>
      <c r="B78" s="57"/>
      <c r="C78" s="57"/>
      <c r="D78" s="58"/>
      <c r="E78" s="7" t="str">
        <f>IFERROR(AVERAGE(E74:E77),"")</f>
        <v/>
      </c>
      <c r="F78" s="7" t="str">
        <f>IFERROR(AVERAGE(F74:F77),"")</f>
        <v/>
      </c>
      <c r="G78" s="7" t="str">
        <f>IFERROR(AVERAGE(G74:G77),"")</f>
        <v/>
      </c>
      <c r="H78" s="7" t="str">
        <f>IFERROR(AVERAGE(H74:H77),"")</f>
        <v/>
      </c>
      <c r="I78" s="24" t="str">
        <f>IFERROR(AVERAGE(I74:I77),"")</f>
        <v/>
      </c>
    </row>
    <row r="79" spans="1:9" x14ac:dyDescent="0.3">
      <c r="A79" s="34"/>
      <c r="B79" s="3"/>
      <c r="C79" s="3"/>
      <c r="D79" s="3"/>
      <c r="E79" s="3"/>
      <c r="F79" s="3"/>
      <c r="G79" s="3"/>
      <c r="H79" s="3"/>
      <c r="I79" s="35"/>
    </row>
    <row r="80" spans="1:9" ht="15.75" customHeight="1" x14ac:dyDescent="0.3">
      <c r="A80" s="56" t="s">
        <v>185</v>
      </c>
      <c r="B80" s="57"/>
      <c r="C80" s="57"/>
      <c r="D80" s="57"/>
      <c r="E80" s="57"/>
      <c r="F80" s="57"/>
      <c r="G80" s="57"/>
      <c r="H80" s="57"/>
      <c r="I80" s="58"/>
    </row>
    <row r="81" spans="1:9" ht="24" customHeight="1" x14ac:dyDescent="0.3">
      <c r="A81" s="20" t="s">
        <v>21</v>
      </c>
      <c r="B81" s="4" t="s">
        <v>22</v>
      </c>
      <c r="C81" s="4" t="s">
        <v>23</v>
      </c>
      <c r="D81" s="4" t="s">
        <v>24</v>
      </c>
      <c r="E81" s="4" t="s">
        <v>10</v>
      </c>
      <c r="F81" s="4" t="s">
        <v>11</v>
      </c>
      <c r="G81" s="4" t="s">
        <v>12</v>
      </c>
      <c r="H81" s="4" t="s">
        <v>13</v>
      </c>
      <c r="I81" s="21" t="s">
        <v>14</v>
      </c>
    </row>
    <row r="82" spans="1:9" ht="19.5" customHeight="1" x14ac:dyDescent="0.3">
      <c r="A82" s="25" t="s">
        <v>186</v>
      </c>
      <c r="B82" s="8" t="s">
        <v>187</v>
      </c>
      <c r="C82" s="8" t="s">
        <v>188</v>
      </c>
      <c r="D82" s="8" t="s">
        <v>189</v>
      </c>
      <c r="E82" s="9"/>
      <c r="F82" s="9"/>
      <c r="G82" s="9"/>
      <c r="H82" s="9"/>
      <c r="I82" s="26"/>
    </row>
    <row r="83" spans="1:9" x14ac:dyDescent="0.3">
      <c r="A83" s="34"/>
      <c r="B83" s="3"/>
      <c r="C83" s="3"/>
      <c r="D83" s="3"/>
      <c r="E83" s="3"/>
      <c r="F83" s="3"/>
      <c r="G83" s="3"/>
      <c r="H83" s="3"/>
      <c r="I83" s="35"/>
    </row>
    <row r="84" spans="1:9" ht="15.75" customHeight="1" x14ac:dyDescent="0.3">
      <c r="A84" s="68" t="s">
        <v>190</v>
      </c>
      <c r="B84" s="57"/>
      <c r="C84" s="57"/>
      <c r="D84" s="57"/>
      <c r="E84" s="57"/>
      <c r="F84" s="57"/>
      <c r="G84" s="57"/>
      <c r="H84" s="57"/>
      <c r="I84" s="58"/>
    </row>
    <row r="85" spans="1:9" x14ac:dyDescent="0.3">
      <c r="A85" s="98" t="s">
        <v>191</v>
      </c>
      <c r="B85" s="57"/>
      <c r="C85" s="57"/>
      <c r="D85" s="58"/>
      <c r="E85" s="10" t="s">
        <v>10</v>
      </c>
      <c r="F85" s="10" t="s">
        <v>11</v>
      </c>
      <c r="G85" s="10" t="s">
        <v>12</v>
      </c>
      <c r="H85" s="10" t="s">
        <v>13</v>
      </c>
      <c r="I85" s="27" t="s">
        <v>14</v>
      </c>
    </row>
    <row r="86" spans="1:9" x14ac:dyDescent="0.3">
      <c r="A86" s="97" t="s">
        <v>192</v>
      </c>
      <c r="B86" s="57"/>
      <c r="C86" s="57"/>
      <c r="D86" s="58"/>
      <c r="E86" s="11" t="str">
        <f>IFERROR(AVERAGE(E20:E26,E31:E34,E40:E44,E50:E56,E62:E68,E74:E77),"")</f>
        <v/>
      </c>
      <c r="F86" s="11" t="str">
        <f>IFERROR(AVERAGE(F20:F26,F31:F34,F40:F44,F50:F56,F62:F68,F74:F77),"")</f>
        <v/>
      </c>
      <c r="G86" s="11" t="str">
        <f>IFERROR(AVERAGE(G20:G26,G31:G34,G40:G44,G50:G56,G62:G68,G74:G77),"")</f>
        <v/>
      </c>
      <c r="H86" s="11" t="str">
        <f>IFERROR(AVERAGE(H20:H26,H31:H34,H40:H44,H50:H56,H62:H68,H74:H77),"")</f>
        <v/>
      </c>
      <c r="I86" s="28" t="str">
        <f>IFERROR(AVERAGE(I20:I26,I31:I34,I40:I44,I50:I56,I62:I68,I74:I77),"")</f>
        <v/>
      </c>
    </row>
    <row r="87" spans="1:9" x14ac:dyDescent="0.3">
      <c r="A87" s="97" t="s">
        <v>193</v>
      </c>
      <c r="B87" s="57"/>
      <c r="C87" s="57"/>
      <c r="D87" s="58"/>
      <c r="E87" s="11">
        <f>IFERROR(E82,"")</f>
        <v>0</v>
      </c>
      <c r="F87" s="11">
        <f>IFERROR(F82,"")</f>
        <v>0</v>
      </c>
      <c r="G87" s="11">
        <f>IFERROR(G82,"")</f>
        <v>0</v>
      </c>
      <c r="H87" s="11">
        <f>IFERROR(H82,"")</f>
        <v>0</v>
      </c>
      <c r="I87" s="28">
        <f>IFERROR(I82,"")</f>
        <v>0</v>
      </c>
    </row>
    <row r="88" spans="1:9" x14ac:dyDescent="0.3">
      <c r="A88" s="97" t="s">
        <v>194</v>
      </c>
      <c r="B88" s="57"/>
      <c r="C88" s="57"/>
      <c r="D88" s="58"/>
      <c r="E88" s="7">
        <f>IFERROR(AVERAGE(E86,E87),"")</f>
        <v>0</v>
      </c>
      <c r="F88" s="7">
        <f>IFERROR(AVERAGE(F86,F87),"")</f>
        <v>0</v>
      </c>
      <c r="G88" s="7">
        <f>IFERROR(AVERAGE(G86,G87),"")</f>
        <v>0</v>
      </c>
      <c r="H88" s="7">
        <f>IFERROR(AVERAGE(H86,H87),"")</f>
        <v>0</v>
      </c>
      <c r="I88" s="24">
        <f>IFERROR(AVERAGE(I86,I87),"")</f>
        <v>0</v>
      </c>
    </row>
    <row r="89" spans="1:9" x14ac:dyDescent="0.3">
      <c r="A89" s="96" t="s">
        <v>195</v>
      </c>
      <c r="B89" s="57"/>
      <c r="C89" s="57"/>
      <c r="D89" s="58"/>
      <c r="E89" s="12">
        <f>IFERROR(ABS(E88-3),"")</f>
        <v>3</v>
      </c>
      <c r="F89" s="12">
        <f>IFERROR(ABS(F88-3),"")</f>
        <v>3</v>
      </c>
      <c r="G89" s="12">
        <f>IFERROR(ABS(G88-3),"")</f>
        <v>3</v>
      </c>
      <c r="H89" s="12">
        <f>IFERROR(ABS(H88-3),"")</f>
        <v>3</v>
      </c>
      <c r="I89" s="29">
        <f>IFERROR(ABS(I88-3),"")</f>
        <v>3</v>
      </c>
    </row>
    <row r="90" spans="1:9" x14ac:dyDescent="0.3">
      <c r="A90" s="97" t="s">
        <v>196</v>
      </c>
      <c r="B90" s="57"/>
      <c r="C90" s="57"/>
      <c r="D90" s="58"/>
      <c r="E90" s="10">
        <f>IFERROR(RANK(E89,$E$89:$I$89,1),"")</f>
        <v>1</v>
      </c>
      <c r="F90" s="10">
        <f>IFERROR(RANK(F89,$E$89:$I$89,1),"")</f>
        <v>1</v>
      </c>
      <c r="G90" s="10">
        <f>IFERROR(RANK(G89,$E$89:$I$89,1),"")</f>
        <v>1</v>
      </c>
      <c r="H90" s="10">
        <f>IFERROR(RANK(H89,$E$89:$I$89,1),"")</f>
        <v>1</v>
      </c>
      <c r="I90" s="27">
        <f>IFERROR(RANK(I89,$E$89:$I$89,1),"")</f>
        <v>1</v>
      </c>
    </row>
    <row r="91" spans="1:9" x14ac:dyDescent="0.3">
      <c r="A91" s="34"/>
      <c r="B91" s="3"/>
      <c r="C91" s="3"/>
      <c r="D91" s="3"/>
      <c r="E91" s="3"/>
      <c r="F91" s="3"/>
      <c r="G91" s="3"/>
      <c r="H91" s="3"/>
      <c r="I91" s="35"/>
    </row>
    <row r="92" spans="1:9" x14ac:dyDescent="0.3">
      <c r="A92" s="69" t="s">
        <v>197</v>
      </c>
      <c r="B92" s="57"/>
      <c r="C92" s="57"/>
      <c r="D92" s="57"/>
      <c r="E92" s="57"/>
      <c r="F92" s="57"/>
      <c r="G92" s="57"/>
      <c r="H92" s="57"/>
      <c r="I92" s="58"/>
    </row>
    <row r="93" spans="1:9" ht="18" customHeight="1" x14ac:dyDescent="0.3">
      <c r="A93" s="36" t="s">
        <v>198</v>
      </c>
      <c r="B93" s="62"/>
      <c r="C93" s="57"/>
      <c r="D93" s="57"/>
      <c r="E93" s="57"/>
      <c r="F93" s="57"/>
      <c r="G93" s="57"/>
      <c r="H93" s="57"/>
      <c r="I93" s="58"/>
    </row>
    <row r="94" spans="1:9" ht="18" customHeight="1" x14ac:dyDescent="0.3">
      <c r="A94" s="36" t="s">
        <v>199</v>
      </c>
      <c r="B94" s="62"/>
      <c r="C94" s="57"/>
      <c r="D94" s="57"/>
      <c r="E94" s="57"/>
      <c r="F94" s="57"/>
      <c r="G94" s="57"/>
      <c r="H94" s="57"/>
      <c r="I94" s="58"/>
    </row>
    <row r="95" spans="1:9" ht="18" customHeight="1" x14ac:dyDescent="0.3">
      <c r="A95" s="36" t="s">
        <v>200</v>
      </c>
      <c r="B95" s="62"/>
      <c r="C95" s="57"/>
      <c r="D95" s="57"/>
      <c r="E95" s="57"/>
      <c r="F95" s="57"/>
      <c r="G95" s="57"/>
      <c r="H95" s="57"/>
      <c r="I95" s="58"/>
    </row>
    <row r="96" spans="1:9" ht="18" customHeight="1" x14ac:dyDescent="0.3">
      <c r="A96" s="36" t="s">
        <v>201</v>
      </c>
      <c r="B96" s="62"/>
      <c r="C96" s="57"/>
      <c r="D96" s="57"/>
      <c r="E96" s="57"/>
      <c r="F96" s="57"/>
      <c r="G96" s="57"/>
      <c r="H96" s="57"/>
      <c r="I96" s="58"/>
    </row>
    <row r="97" spans="1:9" ht="18" customHeight="1" x14ac:dyDescent="0.3">
      <c r="A97" s="36" t="s">
        <v>202</v>
      </c>
      <c r="B97" s="62"/>
      <c r="C97" s="57"/>
      <c r="D97" s="57"/>
      <c r="E97" s="57"/>
      <c r="F97" s="57"/>
      <c r="G97" s="57"/>
      <c r="H97" s="57"/>
      <c r="I97" s="58"/>
    </row>
    <row r="98" spans="1:9" x14ac:dyDescent="0.3">
      <c r="A98" s="34"/>
      <c r="B98" s="3"/>
      <c r="C98" s="3"/>
      <c r="D98" s="3"/>
      <c r="E98" s="3"/>
      <c r="F98" s="3"/>
      <c r="G98" s="3"/>
      <c r="H98" s="3"/>
      <c r="I98" s="35"/>
    </row>
    <row r="99" spans="1:9" ht="15" customHeight="1" thickBot="1" x14ac:dyDescent="0.35">
      <c r="A99" s="41" t="s">
        <v>203</v>
      </c>
      <c r="B99" s="53"/>
      <c r="C99" s="55"/>
      <c r="D99" s="42" t="s">
        <v>204</v>
      </c>
      <c r="E99" s="53"/>
      <c r="F99" s="54"/>
      <c r="G99" s="54"/>
      <c r="H99" s="55"/>
      <c r="I99" s="43" t="s">
        <v>4</v>
      </c>
    </row>
  </sheetData>
  <mergeCells count="48">
    <mergeCell ref="B97:I97"/>
    <mergeCell ref="B7:C7"/>
    <mergeCell ref="A35:D35"/>
    <mergeCell ref="A84:I84"/>
    <mergeCell ref="A46:I46"/>
    <mergeCell ref="A80:I80"/>
    <mergeCell ref="A18:I18"/>
    <mergeCell ref="B93:I93"/>
    <mergeCell ref="A13:D13"/>
    <mergeCell ref="B96:I96"/>
    <mergeCell ref="A72:I72"/>
    <mergeCell ref="A45:D45"/>
    <mergeCell ref="A69:D69"/>
    <mergeCell ref="A88:D88"/>
    <mergeCell ref="A78:D78"/>
    <mergeCell ref="A87:D87"/>
    <mergeCell ref="A2:I2"/>
    <mergeCell ref="A5:C5"/>
    <mergeCell ref="A16:I16"/>
    <mergeCell ref="A11:D11"/>
    <mergeCell ref="A38:I38"/>
    <mergeCell ref="A29:I29"/>
    <mergeCell ref="E6:I6"/>
    <mergeCell ref="D5:I5"/>
    <mergeCell ref="A9:I9"/>
    <mergeCell ref="B6:C6"/>
    <mergeCell ref="A27:D27"/>
    <mergeCell ref="E7:I7"/>
    <mergeCell ref="A12:D12"/>
    <mergeCell ref="A36:I36"/>
    <mergeCell ref="A3:I3"/>
    <mergeCell ref="A10:D10"/>
    <mergeCell ref="A1:I1"/>
    <mergeCell ref="A86:D86"/>
    <mergeCell ref="A70:I70"/>
    <mergeCell ref="E99:H99"/>
    <mergeCell ref="A57:D57"/>
    <mergeCell ref="B94:I94"/>
    <mergeCell ref="A85:D85"/>
    <mergeCell ref="A14:D14"/>
    <mergeCell ref="B99:C99"/>
    <mergeCell ref="A58:I58"/>
    <mergeCell ref="A48:I48"/>
    <mergeCell ref="A90:D90"/>
    <mergeCell ref="A92:I92"/>
    <mergeCell ref="A89:D89"/>
    <mergeCell ref="A60:I60"/>
    <mergeCell ref="B95:I95"/>
  </mergeCells>
  <printOptions horizontalCentered="1"/>
  <pageMargins left="0.75" right="0.75" top="1" bottom="1" header="0.511811023622047" footer="0.511811023622047"/>
  <pageSetup scale="61" fitToHeight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05"/>
  <sheetViews>
    <sheetView showGridLines="0" tabSelected="1" zoomScaleNormal="100" workbookViewId="0">
      <selection sqref="A1:I1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4" customWidth="1"/>
    <col min="5" max="9" width="10" customWidth="1"/>
  </cols>
  <sheetData>
    <row r="1" spans="1:9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7"/>
    </row>
    <row r="2" spans="1:9" ht="24" customHeight="1" x14ac:dyDescent="0.3">
      <c r="A2" s="73" t="s">
        <v>1</v>
      </c>
      <c r="B2" s="57"/>
      <c r="C2" s="57"/>
      <c r="D2" s="57"/>
      <c r="E2" s="57"/>
      <c r="F2" s="57"/>
      <c r="G2" s="57"/>
      <c r="H2" s="57"/>
      <c r="I2" s="58"/>
    </row>
    <row r="3" spans="1:9" ht="27.75" customHeight="1" x14ac:dyDescent="0.3">
      <c r="A3" s="63" t="s">
        <v>2</v>
      </c>
      <c r="B3" s="57"/>
      <c r="C3" s="57"/>
      <c r="D3" s="57"/>
      <c r="E3" s="57"/>
      <c r="F3" s="57"/>
      <c r="G3" s="57"/>
      <c r="H3" s="57"/>
      <c r="I3" s="58"/>
    </row>
    <row r="4" spans="1:9" x14ac:dyDescent="0.3">
      <c r="A4" s="34"/>
      <c r="B4" s="3"/>
      <c r="C4" s="3"/>
      <c r="D4" s="3"/>
      <c r="E4" s="3"/>
      <c r="F4" s="3"/>
      <c r="G4" s="3"/>
      <c r="H4" s="3"/>
      <c r="I4" s="35"/>
    </row>
    <row r="5" spans="1:9" x14ac:dyDescent="0.3">
      <c r="A5" s="69" t="s">
        <v>3</v>
      </c>
      <c r="B5" s="57"/>
      <c r="C5" s="58"/>
      <c r="D5" s="62"/>
      <c r="E5" s="57"/>
      <c r="F5" s="57"/>
      <c r="G5" s="57"/>
      <c r="H5" s="57"/>
      <c r="I5" s="58"/>
    </row>
    <row r="6" spans="1:9" x14ac:dyDescent="0.3">
      <c r="A6" s="18" t="s">
        <v>4</v>
      </c>
      <c r="B6" s="62"/>
      <c r="C6" s="58"/>
      <c r="D6" s="1" t="s">
        <v>5</v>
      </c>
      <c r="E6" s="62"/>
      <c r="F6" s="57"/>
      <c r="G6" s="57"/>
      <c r="H6" s="57"/>
      <c r="I6" s="58"/>
    </row>
    <row r="7" spans="1:9" x14ac:dyDescent="0.3">
      <c r="A7" s="18" t="s">
        <v>6</v>
      </c>
      <c r="B7" s="62"/>
      <c r="C7" s="58"/>
      <c r="D7" s="1" t="s">
        <v>7</v>
      </c>
      <c r="E7" s="62"/>
      <c r="F7" s="57"/>
      <c r="G7" s="57"/>
      <c r="H7" s="57"/>
      <c r="I7" s="58"/>
    </row>
    <row r="8" spans="1:9" x14ac:dyDescent="0.3">
      <c r="A8" s="34"/>
      <c r="B8" s="3"/>
      <c r="C8" s="3"/>
      <c r="D8" s="3"/>
      <c r="E8" s="3"/>
      <c r="F8" s="3"/>
      <c r="G8" s="3"/>
      <c r="H8" s="3"/>
      <c r="I8" s="35"/>
    </row>
    <row r="9" spans="1:9" ht="15.75" customHeight="1" x14ac:dyDescent="0.3">
      <c r="A9" s="56" t="s">
        <v>8</v>
      </c>
      <c r="B9" s="57"/>
      <c r="C9" s="57"/>
      <c r="D9" s="57"/>
      <c r="E9" s="57"/>
      <c r="F9" s="57"/>
      <c r="G9" s="57"/>
      <c r="H9" s="57"/>
      <c r="I9" s="58"/>
    </row>
    <row r="10" spans="1:9" x14ac:dyDescent="0.3">
      <c r="A10" s="98" t="s">
        <v>9</v>
      </c>
      <c r="B10" s="57"/>
      <c r="C10" s="57"/>
      <c r="D10" s="58"/>
      <c r="E10" s="2" t="s">
        <v>10</v>
      </c>
      <c r="F10" s="2" t="s">
        <v>11</v>
      </c>
      <c r="G10" s="2" t="s">
        <v>12</v>
      </c>
      <c r="H10" s="2" t="s">
        <v>13</v>
      </c>
      <c r="I10" s="19" t="s">
        <v>14</v>
      </c>
    </row>
    <row r="11" spans="1:9" x14ac:dyDescent="0.3">
      <c r="A11" s="97" t="s">
        <v>15</v>
      </c>
      <c r="B11" s="57"/>
      <c r="C11" s="57"/>
      <c r="D11" s="58"/>
      <c r="E11" s="3"/>
      <c r="F11" s="3"/>
      <c r="G11" s="3"/>
      <c r="H11" s="3"/>
      <c r="I11" s="35"/>
    </row>
    <row r="12" spans="1:9" x14ac:dyDescent="0.3">
      <c r="A12" s="97" t="s">
        <v>16</v>
      </c>
      <c r="B12" s="57"/>
      <c r="C12" s="57"/>
      <c r="D12" s="58"/>
      <c r="E12" s="3"/>
      <c r="F12" s="3"/>
      <c r="G12" s="3"/>
      <c r="H12" s="3"/>
      <c r="I12" s="35"/>
    </row>
    <row r="13" spans="1:9" x14ac:dyDescent="0.3">
      <c r="A13" s="97" t="s">
        <v>17</v>
      </c>
      <c r="B13" s="57"/>
      <c r="C13" s="57"/>
      <c r="D13" s="58"/>
      <c r="E13" s="3"/>
      <c r="F13" s="3"/>
      <c r="G13" s="3"/>
      <c r="H13" s="3"/>
      <c r="I13" s="35"/>
    </row>
    <row r="14" spans="1:9" x14ac:dyDescent="0.3">
      <c r="A14" s="97" t="s">
        <v>18</v>
      </c>
      <c r="B14" s="57"/>
      <c r="C14" s="57"/>
      <c r="D14" s="58"/>
      <c r="E14" s="3"/>
      <c r="F14" s="3"/>
      <c r="G14" s="3"/>
      <c r="H14" s="3"/>
      <c r="I14" s="35"/>
    </row>
    <row r="15" spans="1:9" x14ac:dyDescent="0.3">
      <c r="A15" s="34"/>
      <c r="B15" s="3"/>
      <c r="C15" s="3"/>
      <c r="D15" s="3"/>
      <c r="E15" s="3"/>
      <c r="F15" s="3"/>
      <c r="G15" s="3"/>
      <c r="H15" s="3"/>
      <c r="I15" s="35"/>
    </row>
    <row r="16" spans="1:9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8"/>
    </row>
    <row r="17" spans="1:9" x14ac:dyDescent="0.3">
      <c r="A17" s="34"/>
      <c r="B17" s="3"/>
      <c r="C17" s="3"/>
      <c r="D17" s="3"/>
      <c r="E17" s="3"/>
      <c r="F17" s="3"/>
      <c r="G17" s="3"/>
      <c r="H17" s="3"/>
      <c r="I17" s="35"/>
    </row>
    <row r="18" spans="1:9" ht="15.75" customHeight="1" x14ac:dyDescent="0.3">
      <c r="A18" s="56" t="s">
        <v>20</v>
      </c>
      <c r="B18" s="57"/>
      <c r="C18" s="57"/>
      <c r="D18" s="57"/>
      <c r="E18" s="57"/>
      <c r="F18" s="57"/>
      <c r="G18" s="57"/>
      <c r="H18" s="57"/>
      <c r="I18" s="58"/>
    </row>
    <row r="19" spans="1:9" ht="24" customHeight="1" x14ac:dyDescent="0.3">
      <c r="A19" s="20" t="s">
        <v>21</v>
      </c>
      <c r="B19" s="4" t="s">
        <v>22</v>
      </c>
      <c r="C19" s="4" t="s">
        <v>23</v>
      </c>
      <c r="D19" s="4" t="s">
        <v>24</v>
      </c>
      <c r="E19" s="4" t="s">
        <v>10</v>
      </c>
      <c r="F19" s="4" t="s">
        <v>11</v>
      </c>
      <c r="G19" s="4" t="s">
        <v>12</v>
      </c>
      <c r="H19" s="4" t="s">
        <v>13</v>
      </c>
      <c r="I19" s="21" t="s">
        <v>14</v>
      </c>
    </row>
    <row r="20" spans="1:9" ht="30" customHeight="1" x14ac:dyDescent="0.3">
      <c r="A20" s="22" t="s">
        <v>25</v>
      </c>
      <c r="B20" s="5" t="s">
        <v>26</v>
      </c>
      <c r="C20" s="5" t="s">
        <v>27</v>
      </c>
      <c r="D20" s="5" t="s">
        <v>28</v>
      </c>
      <c r="E20" s="6"/>
      <c r="F20" s="6"/>
      <c r="G20" s="6"/>
      <c r="H20" s="6"/>
      <c r="I20" s="23"/>
    </row>
    <row r="21" spans="1:9" ht="30" customHeight="1" x14ac:dyDescent="0.3">
      <c r="A21" s="22" t="s">
        <v>29</v>
      </c>
      <c r="B21" s="5" t="s">
        <v>30</v>
      </c>
      <c r="C21" s="5" t="s">
        <v>31</v>
      </c>
      <c r="D21" s="5" t="s">
        <v>32</v>
      </c>
      <c r="E21" s="6"/>
      <c r="F21" s="6"/>
      <c r="G21" s="6"/>
      <c r="H21" s="6"/>
      <c r="I21" s="23"/>
    </row>
    <row r="22" spans="1:9" ht="30" customHeight="1" x14ac:dyDescent="0.3">
      <c r="A22" s="22" t="s">
        <v>33</v>
      </c>
      <c r="B22" s="5" t="s">
        <v>34</v>
      </c>
      <c r="C22" s="5" t="s">
        <v>35</v>
      </c>
      <c r="D22" s="5" t="s">
        <v>36</v>
      </c>
      <c r="E22" s="6"/>
      <c r="F22" s="6"/>
      <c r="G22" s="6"/>
      <c r="H22" s="6"/>
      <c r="I22" s="23"/>
    </row>
    <row r="23" spans="1:9" ht="30" customHeight="1" x14ac:dyDescent="0.3">
      <c r="A23" s="22" t="s">
        <v>37</v>
      </c>
      <c r="B23" s="5" t="s">
        <v>38</v>
      </c>
      <c r="C23" s="5" t="s">
        <v>39</v>
      </c>
      <c r="D23" s="5" t="s">
        <v>40</v>
      </c>
      <c r="E23" s="6"/>
      <c r="F23" s="6"/>
      <c r="G23" s="6"/>
      <c r="H23" s="6"/>
      <c r="I23" s="23"/>
    </row>
    <row r="24" spans="1:9" ht="30" customHeight="1" x14ac:dyDescent="0.3">
      <c r="A24" s="22" t="s">
        <v>41</v>
      </c>
      <c r="B24" s="5" t="s">
        <v>42</v>
      </c>
      <c r="C24" s="5" t="s">
        <v>43</v>
      </c>
      <c r="D24" s="5" t="s">
        <v>44</v>
      </c>
      <c r="E24" s="6"/>
      <c r="F24" s="6"/>
      <c r="G24" s="6"/>
      <c r="H24" s="6"/>
      <c r="I24" s="23"/>
    </row>
    <row r="25" spans="1:9" ht="30" customHeight="1" x14ac:dyDescent="0.3">
      <c r="A25" s="22" t="s">
        <v>45</v>
      </c>
      <c r="B25" s="5" t="s">
        <v>46</v>
      </c>
      <c r="C25" s="5" t="s">
        <v>47</v>
      </c>
      <c r="D25" s="5" t="s">
        <v>48</v>
      </c>
      <c r="E25" s="6"/>
      <c r="F25" s="6"/>
      <c r="G25" s="6"/>
      <c r="H25" s="6"/>
      <c r="I25" s="23"/>
    </row>
    <row r="26" spans="1:9" ht="30" customHeight="1" x14ac:dyDescent="0.3">
      <c r="A26" s="22" t="s">
        <v>49</v>
      </c>
      <c r="B26" s="5" t="s">
        <v>50</v>
      </c>
      <c r="C26" s="5" t="s">
        <v>51</v>
      </c>
      <c r="D26" s="5" t="s">
        <v>52</v>
      </c>
      <c r="E26" s="6"/>
      <c r="F26" s="6"/>
      <c r="G26" s="6"/>
      <c r="H26" s="6"/>
      <c r="I26" s="23"/>
    </row>
    <row r="27" spans="1:9" x14ac:dyDescent="0.3">
      <c r="A27" s="97" t="s">
        <v>53</v>
      </c>
      <c r="B27" s="57"/>
      <c r="C27" s="57"/>
      <c r="D27" s="58"/>
      <c r="E27" s="7" t="str">
        <f>IFERROR(AVERAGE(E20:E26),"")</f>
        <v/>
      </c>
      <c r="F27" s="7" t="str">
        <f>IFERROR(AVERAGE(F20:F26),"")</f>
        <v/>
      </c>
      <c r="G27" s="7" t="str">
        <f>IFERROR(AVERAGE(G20:G26),"")</f>
        <v/>
      </c>
      <c r="H27" s="7" t="str">
        <f>IFERROR(AVERAGE(H20:H26),"")</f>
        <v/>
      </c>
      <c r="I27" s="24" t="str">
        <f>IFERROR(AVERAGE(I20:I26),"")</f>
        <v/>
      </c>
    </row>
    <row r="28" spans="1:9" x14ac:dyDescent="0.3">
      <c r="A28" s="96" t="s">
        <v>54</v>
      </c>
      <c r="B28" s="57"/>
      <c r="C28" s="57"/>
      <c r="D28" s="57"/>
      <c r="E28" s="57"/>
      <c r="F28" s="57"/>
      <c r="G28" s="57"/>
      <c r="H28" s="57"/>
      <c r="I28" s="58"/>
    </row>
    <row r="29" spans="1:9" x14ac:dyDescent="0.3">
      <c r="A29" s="34"/>
      <c r="B29" s="3"/>
      <c r="C29" s="3"/>
      <c r="D29" s="3"/>
      <c r="E29" s="3"/>
      <c r="F29" s="3"/>
      <c r="G29" s="3"/>
      <c r="H29" s="3"/>
      <c r="I29" s="35"/>
    </row>
    <row r="30" spans="1:9" ht="15.75" customHeight="1" x14ac:dyDescent="0.3">
      <c r="A30" s="56" t="s">
        <v>55</v>
      </c>
      <c r="B30" s="57"/>
      <c r="C30" s="57"/>
      <c r="D30" s="57"/>
      <c r="E30" s="57"/>
      <c r="F30" s="57"/>
      <c r="G30" s="57"/>
      <c r="H30" s="57"/>
      <c r="I30" s="58"/>
    </row>
    <row r="31" spans="1:9" ht="24" customHeight="1" x14ac:dyDescent="0.3">
      <c r="A31" s="20" t="s">
        <v>21</v>
      </c>
      <c r="B31" s="4" t="s">
        <v>22</v>
      </c>
      <c r="C31" s="4" t="s">
        <v>23</v>
      </c>
      <c r="D31" s="4" t="s">
        <v>24</v>
      </c>
      <c r="E31" s="4" t="s">
        <v>10</v>
      </c>
      <c r="F31" s="4" t="s">
        <v>11</v>
      </c>
      <c r="G31" s="4" t="s">
        <v>12</v>
      </c>
      <c r="H31" s="4" t="s">
        <v>13</v>
      </c>
      <c r="I31" s="21" t="s">
        <v>14</v>
      </c>
    </row>
    <row r="32" spans="1:9" ht="30" customHeight="1" x14ac:dyDescent="0.3">
      <c r="A32" s="22" t="s">
        <v>56</v>
      </c>
      <c r="B32" s="5" t="s">
        <v>57</v>
      </c>
      <c r="C32" s="5" t="s">
        <v>58</v>
      </c>
      <c r="D32" s="5" t="s">
        <v>59</v>
      </c>
      <c r="E32" s="6"/>
      <c r="F32" s="6"/>
      <c r="G32" s="6"/>
      <c r="H32" s="6"/>
      <c r="I32" s="23"/>
    </row>
    <row r="33" spans="1:9" ht="30" customHeight="1" x14ac:dyDescent="0.3">
      <c r="A33" s="22" t="s">
        <v>60</v>
      </c>
      <c r="B33" s="5" t="s">
        <v>61</v>
      </c>
      <c r="C33" s="5" t="s">
        <v>62</v>
      </c>
      <c r="D33" s="5" t="s">
        <v>63</v>
      </c>
      <c r="E33" s="6"/>
      <c r="F33" s="6"/>
      <c r="G33" s="6"/>
      <c r="H33" s="6"/>
      <c r="I33" s="23"/>
    </row>
    <row r="34" spans="1:9" ht="30" customHeight="1" x14ac:dyDescent="0.3">
      <c r="A34" s="22" t="s">
        <v>64</v>
      </c>
      <c r="B34" s="5" t="s">
        <v>65</v>
      </c>
      <c r="C34" s="5" t="s">
        <v>66</v>
      </c>
      <c r="D34" s="5" t="s">
        <v>67</v>
      </c>
      <c r="E34" s="6"/>
      <c r="F34" s="6"/>
      <c r="G34" s="6"/>
      <c r="H34" s="6"/>
      <c r="I34" s="23"/>
    </row>
    <row r="35" spans="1:9" ht="30" customHeight="1" x14ac:dyDescent="0.3">
      <c r="A35" s="22" t="s">
        <v>68</v>
      </c>
      <c r="B35" s="5" t="s">
        <v>69</v>
      </c>
      <c r="C35" s="5" t="s">
        <v>70</v>
      </c>
      <c r="D35" s="5" t="s">
        <v>71</v>
      </c>
      <c r="E35" s="6"/>
      <c r="F35" s="6"/>
      <c r="G35" s="6"/>
      <c r="H35" s="6"/>
      <c r="I35" s="23"/>
    </row>
    <row r="36" spans="1:9" ht="30" customHeight="1" x14ac:dyDescent="0.3">
      <c r="A36" s="22" t="s">
        <v>72</v>
      </c>
      <c r="B36" s="5" t="s">
        <v>73</v>
      </c>
      <c r="C36" s="5" t="s">
        <v>74</v>
      </c>
      <c r="D36" s="5" t="s">
        <v>75</v>
      </c>
      <c r="E36" s="6"/>
      <c r="F36" s="6"/>
      <c r="G36" s="6"/>
      <c r="H36" s="6"/>
      <c r="I36" s="23"/>
    </row>
    <row r="37" spans="1:9" ht="30" customHeight="1" x14ac:dyDescent="0.3">
      <c r="A37" s="22" t="s">
        <v>76</v>
      </c>
      <c r="B37" s="5" t="s">
        <v>77</v>
      </c>
      <c r="C37" s="5" t="s">
        <v>78</v>
      </c>
      <c r="D37" s="5" t="s">
        <v>79</v>
      </c>
      <c r="E37" s="6"/>
      <c r="F37" s="6"/>
      <c r="G37" s="6"/>
      <c r="H37" s="6"/>
      <c r="I37" s="23"/>
    </row>
    <row r="38" spans="1:9" x14ac:dyDescent="0.3">
      <c r="A38" s="97" t="s">
        <v>80</v>
      </c>
      <c r="B38" s="57"/>
      <c r="C38" s="57"/>
      <c r="D38" s="58"/>
      <c r="E38" s="7" t="str">
        <f>IFERROR(AVERAGE(E32:E37),"")</f>
        <v/>
      </c>
      <c r="F38" s="7" t="str">
        <f>IFERROR(AVERAGE(F32:F37),"")</f>
        <v/>
      </c>
      <c r="G38" s="7" t="str">
        <f>IFERROR(AVERAGE(G32:G37),"")</f>
        <v/>
      </c>
      <c r="H38" s="7" t="str">
        <f>IFERROR(AVERAGE(H32:H37),"")</f>
        <v/>
      </c>
      <c r="I38" s="24" t="str">
        <f>IFERROR(AVERAGE(I32:I37),"")</f>
        <v/>
      </c>
    </row>
    <row r="39" spans="1:9" x14ac:dyDescent="0.3">
      <c r="A39" s="96" t="s">
        <v>81</v>
      </c>
      <c r="B39" s="57"/>
      <c r="C39" s="57"/>
      <c r="D39" s="57"/>
      <c r="E39" s="57"/>
      <c r="F39" s="57"/>
      <c r="G39" s="57"/>
      <c r="H39" s="57"/>
      <c r="I39" s="58"/>
    </row>
    <row r="40" spans="1:9" x14ac:dyDescent="0.3">
      <c r="A40" s="34"/>
      <c r="B40" s="3"/>
      <c r="C40" s="3"/>
      <c r="D40" s="3"/>
      <c r="E40" s="3"/>
      <c r="F40" s="3"/>
      <c r="G40" s="3"/>
      <c r="H40" s="3"/>
      <c r="I40" s="35"/>
    </row>
    <row r="41" spans="1:9" ht="15.75" customHeight="1" x14ac:dyDescent="0.3">
      <c r="A41" s="56" t="s">
        <v>82</v>
      </c>
      <c r="B41" s="57"/>
      <c r="C41" s="57"/>
      <c r="D41" s="57"/>
      <c r="E41" s="57"/>
      <c r="F41" s="57"/>
      <c r="G41" s="57"/>
      <c r="H41" s="57"/>
      <c r="I41" s="58"/>
    </row>
    <row r="42" spans="1:9" ht="24" customHeight="1" x14ac:dyDescent="0.3">
      <c r="A42" s="20" t="s">
        <v>21</v>
      </c>
      <c r="B42" s="4" t="s">
        <v>22</v>
      </c>
      <c r="C42" s="4" t="s">
        <v>23</v>
      </c>
      <c r="D42" s="4" t="s">
        <v>24</v>
      </c>
      <c r="E42" s="4" t="s">
        <v>10</v>
      </c>
      <c r="F42" s="4" t="s">
        <v>11</v>
      </c>
      <c r="G42" s="4" t="s">
        <v>12</v>
      </c>
      <c r="H42" s="4" t="s">
        <v>13</v>
      </c>
      <c r="I42" s="21" t="s">
        <v>14</v>
      </c>
    </row>
    <row r="43" spans="1:9" ht="30" customHeight="1" x14ac:dyDescent="0.3">
      <c r="A43" s="22" t="s">
        <v>83</v>
      </c>
      <c r="B43" s="5" t="s">
        <v>84</v>
      </c>
      <c r="C43" s="5" t="s">
        <v>85</v>
      </c>
      <c r="D43" s="5" t="s">
        <v>86</v>
      </c>
      <c r="E43" s="6"/>
      <c r="F43" s="6"/>
      <c r="G43" s="6"/>
      <c r="H43" s="6"/>
      <c r="I43" s="23"/>
    </row>
    <row r="44" spans="1:9" ht="30" customHeight="1" x14ac:dyDescent="0.3">
      <c r="A44" s="22" t="s">
        <v>87</v>
      </c>
      <c r="B44" s="5" t="s">
        <v>88</v>
      </c>
      <c r="C44" s="5" t="s">
        <v>89</v>
      </c>
      <c r="D44" s="5" t="s">
        <v>90</v>
      </c>
      <c r="E44" s="6"/>
      <c r="F44" s="6"/>
      <c r="G44" s="6"/>
      <c r="H44" s="6"/>
      <c r="I44" s="23"/>
    </row>
    <row r="45" spans="1:9" ht="30" customHeight="1" x14ac:dyDescent="0.3">
      <c r="A45" s="22" t="s">
        <v>91</v>
      </c>
      <c r="B45" s="5" t="s">
        <v>92</v>
      </c>
      <c r="C45" s="5" t="s">
        <v>93</v>
      </c>
      <c r="D45" s="5" t="s">
        <v>94</v>
      </c>
      <c r="E45" s="6"/>
      <c r="F45" s="6"/>
      <c r="G45" s="6"/>
      <c r="H45" s="6"/>
      <c r="I45" s="23"/>
    </row>
    <row r="46" spans="1:9" ht="30" customHeight="1" x14ac:dyDescent="0.3">
      <c r="A46" s="22" t="s">
        <v>95</v>
      </c>
      <c r="B46" s="5" t="s">
        <v>96</v>
      </c>
      <c r="C46" s="5" t="s">
        <v>78</v>
      </c>
      <c r="D46" s="5" t="s">
        <v>97</v>
      </c>
      <c r="E46" s="6"/>
      <c r="F46" s="6"/>
      <c r="G46" s="6"/>
      <c r="H46" s="6"/>
      <c r="I46" s="23"/>
    </row>
    <row r="47" spans="1:9" ht="30" customHeight="1" x14ac:dyDescent="0.3">
      <c r="A47" s="22" t="s">
        <v>98</v>
      </c>
      <c r="B47" s="5" t="s">
        <v>99</v>
      </c>
      <c r="C47" s="5" t="s">
        <v>100</v>
      </c>
      <c r="D47" s="5" t="s">
        <v>101</v>
      </c>
      <c r="E47" s="6"/>
      <c r="F47" s="6"/>
      <c r="G47" s="6"/>
      <c r="H47" s="6"/>
      <c r="I47" s="23"/>
    </row>
    <row r="48" spans="1:9" ht="30" customHeight="1" x14ac:dyDescent="0.3">
      <c r="A48" s="22" t="s">
        <v>102</v>
      </c>
      <c r="B48" s="5" t="s">
        <v>99</v>
      </c>
      <c r="C48" s="5" t="s">
        <v>78</v>
      </c>
      <c r="D48" s="5" t="s">
        <v>103</v>
      </c>
      <c r="E48" s="6"/>
      <c r="F48" s="6"/>
      <c r="G48" s="6"/>
      <c r="H48" s="6"/>
      <c r="I48" s="23"/>
    </row>
    <row r="49" spans="1:9" ht="30" customHeight="1" x14ac:dyDescent="0.3">
      <c r="A49" s="22" t="s">
        <v>104</v>
      </c>
      <c r="B49" s="5" t="s">
        <v>105</v>
      </c>
      <c r="C49" s="5" t="s">
        <v>106</v>
      </c>
      <c r="D49" s="5" t="s">
        <v>107</v>
      </c>
      <c r="E49" s="6"/>
      <c r="F49" s="6"/>
      <c r="G49" s="6"/>
      <c r="H49" s="6"/>
      <c r="I49" s="23"/>
    </row>
    <row r="50" spans="1:9" x14ac:dyDescent="0.3">
      <c r="A50" s="97" t="s">
        <v>108</v>
      </c>
      <c r="B50" s="57"/>
      <c r="C50" s="57"/>
      <c r="D50" s="58"/>
      <c r="E50" s="7" t="str">
        <f>IFERROR(AVERAGE(E43:E49),"")</f>
        <v/>
      </c>
      <c r="F50" s="7" t="str">
        <f>IFERROR(AVERAGE(F43:F49),"")</f>
        <v/>
      </c>
      <c r="G50" s="7" t="str">
        <f>IFERROR(AVERAGE(G43:G49),"")</f>
        <v/>
      </c>
      <c r="H50" s="7" t="str">
        <f>IFERROR(AVERAGE(H43:H49),"")</f>
        <v/>
      </c>
      <c r="I50" s="24" t="str">
        <f>IFERROR(AVERAGE(I43:I49),"")</f>
        <v/>
      </c>
    </row>
    <row r="51" spans="1:9" x14ac:dyDescent="0.3">
      <c r="A51" s="34"/>
      <c r="B51" s="3"/>
      <c r="C51" s="3"/>
      <c r="D51" s="3"/>
      <c r="E51" s="3"/>
      <c r="F51" s="3"/>
      <c r="G51" s="3"/>
      <c r="H51" s="3"/>
      <c r="I51" s="35"/>
    </row>
    <row r="52" spans="1:9" ht="15.75" customHeight="1" x14ac:dyDescent="0.3">
      <c r="A52" s="56" t="s">
        <v>109</v>
      </c>
      <c r="B52" s="57"/>
      <c r="C52" s="57"/>
      <c r="D52" s="57"/>
      <c r="E52" s="57"/>
      <c r="F52" s="57"/>
      <c r="G52" s="57"/>
      <c r="H52" s="57"/>
      <c r="I52" s="58"/>
    </row>
    <row r="53" spans="1:9" ht="24" customHeight="1" x14ac:dyDescent="0.3">
      <c r="A53" s="20" t="s">
        <v>21</v>
      </c>
      <c r="B53" s="4" t="s">
        <v>22</v>
      </c>
      <c r="C53" s="4" t="s">
        <v>23</v>
      </c>
      <c r="D53" s="4" t="s">
        <v>24</v>
      </c>
      <c r="E53" s="4" t="s">
        <v>10</v>
      </c>
      <c r="F53" s="4" t="s">
        <v>11</v>
      </c>
      <c r="G53" s="4" t="s">
        <v>12</v>
      </c>
      <c r="H53" s="4" t="s">
        <v>13</v>
      </c>
      <c r="I53" s="21" t="s">
        <v>14</v>
      </c>
    </row>
    <row r="54" spans="1:9" ht="30" customHeight="1" x14ac:dyDescent="0.3">
      <c r="A54" s="22" t="s">
        <v>110</v>
      </c>
      <c r="B54" s="5" t="s">
        <v>111</v>
      </c>
      <c r="C54" s="5" t="s">
        <v>112</v>
      </c>
      <c r="D54" s="5" t="s">
        <v>113</v>
      </c>
      <c r="E54" s="6"/>
      <c r="F54" s="6"/>
      <c r="G54" s="6"/>
      <c r="H54" s="6"/>
      <c r="I54" s="23"/>
    </row>
    <row r="55" spans="1:9" ht="30" customHeight="1" x14ac:dyDescent="0.3">
      <c r="A55" s="22" t="s">
        <v>114</v>
      </c>
      <c r="B55" s="5" t="s">
        <v>115</v>
      </c>
      <c r="C55" s="5" t="s">
        <v>116</v>
      </c>
      <c r="D55" s="5" t="s">
        <v>117</v>
      </c>
      <c r="E55" s="6"/>
      <c r="F55" s="6"/>
      <c r="G55" s="6"/>
      <c r="H55" s="6"/>
      <c r="I55" s="23"/>
    </row>
    <row r="56" spans="1:9" ht="30" customHeight="1" x14ac:dyDescent="0.3">
      <c r="A56" s="22" t="s">
        <v>118</v>
      </c>
      <c r="B56" s="5" t="s">
        <v>119</v>
      </c>
      <c r="C56" s="5" t="s">
        <v>78</v>
      </c>
      <c r="D56" s="5" t="s">
        <v>120</v>
      </c>
      <c r="E56" s="6"/>
      <c r="F56" s="6"/>
      <c r="G56" s="6"/>
      <c r="H56" s="6"/>
      <c r="I56" s="23"/>
    </row>
    <row r="57" spans="1:9" ht="30" customHeight="1" x14ac:dyDescent="0.3">
      <c r="A57" s="22" t="s">
        <v>121</v>
      </c>
      <c r="B57" s="5" t="s">
        <v>122</v>
      </c>
      <c r="C57" s="5" t="s">
        <v>123</v>
      </c>
      <c r="D57" s="5" t="s">
        <v>124</v>
      </c>
      <c r="E57" s="6"/>
      <c r="F57" s="6"/>
      <c r="G57" s="6"/>
      <c r="H57" s="6"/>
      <c r="I57" s="23"/>
    </row>
    <row r="58" spans="1:9" ht="30" customHeight="1" x14ac:dyDescent="0.3">
      <c r="A58" s="22" t="s">
        <v>125</v>
      </c>
      <c r="B58" s="5" t="s">
        <v>126</v>
      </c>
      <c r="C58" s="5" t="s">
        <v>127</v>
      </c>
      <c r="D58" s="5" t="s">
        <v>128</v>
      </c>
      <c r="E58" s="6"/>
      <c r="F58" s="6"/>
      <c r="G58" s="6"/>
      <c r="H58" s="6"/>
      <c r="I58" s="23"/>
    </row>
    <row r="59" spans="1:9" ht="30" customHeight="1" x14ac:dyDescent="0.3">
      <c r="A59" s="22" t="s">
        <v>129</v>
      </c>
      <c r="B59" s="5" t="s">
        <v>130</v>
      </c>
      <c r="C59" s="5" t="s">
        <v>131</v>
      </c>
      <c r="D59" s="5" t="s">
        <v>132</v>
      </c>
      <c r="E59" s="6"/>
      <c r="F59" s="6"/>
      <c r="G59" s="6"/>
      <c r="H59" s="6"/>
      <c r="I59" s="23"/>
    </row>
    <row r="60" spans="1:9" ht="30" customHeight="1" x14ac:dyDescent="0.3">
      <c r="A60" s="22" t="s">
        <v>133</v>
      </c>
      <c r="B60" s="5" t="s">
        <v>134</v>
      </c>
      <c r="C60" s="5" t="s">
        <v>135</v>
      </c>
      <c r="D60" s="5" t="s">
        <v>136</v>
      </c>
      <c r="E60" s="6"/>
      <c r="F60" s="6"/>
      <c r="G60" s="6"/>
      <c r="H60" s="6"/>
      <c r="I60" s="23"/>
    </row>
    <row r="61" spans="1:9" x14ac:dyDescent="0.3">
      <c r="A61" s="97" t="s">
        <v>137</v>
      </c>
      <c r="B61" s="57"/>
      <c r="C61" s="57"/>
      <c r="D61" s="58"/>
      <c r="E61" s="7" t="str">
        <f>IFERROR(AVERAGE(E54:E60),"")</f>
        <v/>
      </c>
      <c r="F61" s="7" t="str">
        <f>IFERROR(AVERAGE(F54:F60),"")</f>
        <v/>
      </c>
      <c r="G61" s="7" t="str">
        <f>IFERROR(AVERAGE(G54:G60),"")</f>
        <v/>
      </c>
      <c r="H61" s="7" t="str">
        <f>IFERROR(AVERAGE(H54:H60),"")</f>
        <v/>
      </c>
      <c r="I61" s="24" t="str">
        <f>IFERROR(AVERAGE(I54:I60),"")</f>
        <v/>
      </c>
    </row>
    <row r="62" spans="1:9" x14ac:dyDescent="0.3">
      <c r="A62" s="96" t="s">
        <v>138</v>
      </c>
      <c r="B62" s="57"/>
      <c r="C62" s="57"/>
      <c r="D62" s="57"/>
      <c r="E62" s="57"/>
      <c r="F62" s="57"/>
      <c r="G62" s="57"/>
      <c r="H62" s="57"/>
      <c r="I62" s="58"/>
    </row>
    <row r="63" spans="1:9" x14ac:dyDescent="0.3">
      <c r="A63" s="34"/>
      <c r="B63" s="3"/>
      <c r="C63" s="3"/>
      <c r="D63" s="3"/>
      <c r="E63" s="3"/>
      <c r="F63" s="3"/>
      <c r="G63" s="3"/>
      <c r="H63" s="3"/>
      <c r="I63" s="35"/>
    </row>
    <row r="64" spans="1:9" ht="15.75" customHeight="1" x14ac:dyDescent="0.3">
      <c r="A64" s="56" t="s">
        <v>139</v>
      </c>
      <c r="B64" s="57"/>
      <c r="C64" s="57"/>
      <c r="D64" s="57"/>
      <c r="E64" s="57"/>
      <c r="F64" s="57"/>
      <c r="G64" s="57"/>
      <c r="H64" s="57"/>
      <c r="I64" s="58"/>
    </row>
    <row r="65" spans="1:9" ht="24" customHeight="1" x14ac:dyDescent="0.3">
      <c r="A65" s="20" t="s">
        <v>21</v>
      </c>
      <c r="B65" s="4" t="s">
        <v>22</v>
      </c>
      <c r="C65" s="4" t="s">
        <v>23</v>
      </c>
      <c r="D65" s="4" t="s">
        <v>24</v>
      </c>
      <c r="E65" s="4" t="s">
        <v>10</v>
      </c>
      <c r="F65" s="4" t="s">
        <v>11</v>
      </c>
      <c r="G65" s="4" t="s">
        <v>12</v>
      </c>
      <c r="H65" s="4" t="s">
        <v>13</v>
      </c>
      <c r="I65" s="21" t="s">
        <v>14</v>
      </c>
    </row>
    <row r="66" spans="1:9" ht="30" customHeight="1" x14ac:dyDescent="0.3">
      <c r="A66" s="22" t="s">
        <v>140</v>
      </c>
      <c r="B66" s="5" t="s">
        <v>141</v>
      </c>
      <c r="C66" s="5" t="s">
        <v>142</v>
      </c>
      <c r="D66" s="5" t="s">
        <v>143</v>
      </c>
      <c r="E66" s="6"/>
      <c r="F66" s="6"/>
      <c r="G66" s="6"/>
      <c r="H66" s="6"/>
      <c r="I66" s="23"/>
    </row>
    <row r="67" spans="1:9" ht="30" customHeight="1" x14ac:dyDescent="0.3">
      <c r="A67" s="22" t="s">
        <v>144</v>
      </c>
      <c r="B67" s="5" t="s">
        <v>145</v>
      </c>
      <c r="C67" s="5" t="s">
        <v>146</v>
      </c>
      <c r="D67" s="5" t="s">
        <v>147</v>
      </c>
      <c r="E67" s="6"/>
      <c r="F67" s="6"/>
      <c r="G67" s="6"/>
      <c r="H67" s="6"/>
      <c r="I67" s="23"/>
    </row>
    <row r="68" spans="1:9" ht="30" customHeight="1" x14ac:dyDescent="0.3">
      <c r="A68" s="22" t="s">
        <v>148</v>
      </c>
      <c r="B68" s="5" t="s">
        <v>149</v>
      </c>
      <c r="C68" s="5" t="s">
        <v>89</v>
      </c>
      <c r="D68" s="5" t="s">
        <v>150</v>
      </c>
      <c r="E68" s="6"/>
      <c r="F68" s="6"/>
      <c r="G68" s="6"/>
      <c r="H68" s="6"/>
      <c r="I68" s="23"/>
    </row>
    <row r="69" spans="1:9" ht="30" customHeight="1" x14ac:dyDescent="0.3">
      <c r="A69" s="22" t="s">
        <v>151</v>
      </c>
      <c r="B69" s="5" t="s">
        <v>152</v>
      </c>
      <c r="C69" s="5" t="s">
        <v>78</v>
      </c>
      <c r="D69" s="5" t="s">
        <v>153</v>
      </c>
      <c r="E69" s="6"/>
      <c r="F69" s="6"/>
      <c r="G69" s="6"/>
      <c r="H69" s="6"/>
      <c r="I69" s="23"/>
    </row>
    <row r="70" spans="1:9" ht="30" customHeight="1" x14ac:dyDescent="0.3">
      <c r="A70" s="22" t="s">
        <v>154</v>
      </c>
      <c r="B70" s="5" t="s">
        <v>155</v>
      </c>
      <c r="C70" s="5" t="s">
        <v>156</v>
      </c>
      <c r="D70" s="5" t="s">
        <v>157</v>
      </c>
      <c r="E70" s="6"/>
      <c r="F70" s="6"/>
      <c r="G70" s="6"/>
      <c r="H70" s="6"/>
      <c r="I70" s="23"/>
    </row>
    <row r="71" spans="1:9" ht="30" customHeight="1" x14ac:dyDescent="0.3">
      <c r="A71" s="22" t="s">
        <v>158</v>
      </c>
      <c r="B71" s="5" t="s">
        <v>99</v>
      </c>
      <c r="C71" s="5" t="s">
        <v>78</v>
      </c>
      <c r="D71" s="5" t="s">
        <v>101</v>
      </c>
      <c r="E71" s="6"/>
      <c r="F71" s="6"/>
      <c r="G71" s="6"/>
      <c r="H71" s="6"/>
      <c r="I71" s="23"/>
    </row>
    <row r="72" spans="1:9" ht="30" customHeight="1" x14ac:dyDescent="0.3">
      <c r="A72" s="22" t="s">
        <v>159</v>
      </c>
      <c r="B72" s="5" t="s">
        <v>99</v>
      </c>
      <c r="C72" s="5" t="s">
        <v>78</v>
      </c>
      <c r="D72" s="5" t="s">
        <v>103</v>
      </c>
      <c r="E72" s="6"/>
      <c r="F72" s="6"/>
      <c r="G72" s="6"/>
      <c r="H72" s="6"/>
      <c r="I72" s="23"/>
    </row>
    <row r="73" spans="1:9" ht="30" customHeight="1" x14ac:dyDescent="0.3">
      <c r="A73" s="22" t="s">
        <v>160</v>
      </c>
      <c r="B73" s="5" t="s">
        <v>99</v>
      </c>
      <c r="C73" s="5" t="s">
        <v>106</v>
      </c>
      <c r="D73" s="5" t="s">
        <v>161</v>
      </c>
      <c r="E73" s="6"/>
      <c r="F73" s="6"/>
      <c r="G73" s="6"/>
      <c r="H73" s="6"/>
      <c r="I73" s="23"/>
    </row>
    <row r="74" spans="1:9" ht="30" customHeight="1" x14ac:dyDescent="0.3">
      <c r="A74" s="22" t="s">
        <v>162</v>
      </c>
      <c r="B74" s="5" t="s">
        <v>163</v>
      </c>
      <c r="C74" s="5" t="s">
        <v>164</v>
      </c>
      <c r="D74" s="5" t="s">
        <v>165</v>
      </c>
      <c r="E74" s="6"/>
      <c r="F74" s="6"/>
      <c r="G74" s="6"/>
      <c r="H74" s="6"/>
      <c r="I74" s="23"/>
    </row>
    <row r="75" spans="1:9" x14ac:dyDescent="0.3">
      <c r="A75" s="97" t="s">
        <v>166</v>
      </c>
      <c r="B75" s="57"/>
      <c r="C75" s="57"/>
      <c r="D75" s="58"/>
      <c r="E75" s="7" t="str">
        <f>IFERROR(AVERAGE(E66:E74),"")</f>
        <v/>
      </c>
      <c r="F75" s="7" t="str">
        <f>IFERROR(AVERAGE(F66:F74),"")</f>
        <v/>
      </c>
      <c r="G75" s="7" t="str">
        <f>IFERROR(AVERAGE(G66:G74),"")</f>
        <v/>
      </c>
      <c r="H75" s="7" t="str">
        <f>IFERROR(AVERAGE(H66:H74),"")</f>
        <v/>
      </c>
      <c r="I75" s="24" t="str">
        <f>IFERROR(AVERAGE(I66:I74),"")</f>
        <v/>
      </c>
    </row>
    <row r="76" spans="1:9" x14ac:dyDescent="0.3">
      <c r="A76" s="34"/>
      <c r="B76" s="3"/>
      <c r="C76" s="3"/>
      <c r="D76" s="3"/>
      <c r="E76" s="3"/>
      <c r="F76" s="3"/>
      <c r="G76" s="3"/>
      <c r="H76" s="3"/>
      <c r="I76" s="35"/>
    </row>
    <row r="77" spans="1:9" ht="15.75" customHeight="1" x14ac:dyDescent="0.3">
      <c r="A77" s="56" t="s">
        <v>167</v>
      </c>
      <c r="B77" s="57"/>
      <c r="C77" s="57"/>
      <c r="D77" s="57"/>
      <c r="E77" s="57"/>
      <c r="F77" s="57"/>
      <c r="G77" s="57"/>
      <c r="H77" s="57"/>
      <c r="I77" s="58"/>
    </row>
    <row r="78" spans="1:9" ht="24" customHeight="1" x14ac:dyDescent="0.3">
      <c r="A78" s="20" t="s">
        <v>21</v>
      </c>
      <c r="B78" s="4" t="s">
        <v>22</v>
      </c>
      <c r="C78" s="4" t="s">
        <v>23</v>
      </c>
      <c r="D78" s="4" t="s">
        <v>24</v>
      </c>
      <c r="E78" s="4" t="s">
        <v>10</v>
      </c>
      <c r="F78" s="4" t="s">
        <v>11</v>
      </c>
      <c r="G78" s="4" t="s">
        <v>12</v>
      </c>
      <c r="H78" s="4" t="s">
        <v>13</v>
      </c>
      <c r="I78" s="21" t="s">
        <v>14</v>
      </c>
    </row>
    <row r="79" spans="1:9" ht="30" customHeight="1" x14ac:dyDescent="0.3">
      <c r="A79" s="22" t="s">
        <v>168</v>
      </c>
      <c r="B79" s="5" t="s">
        <v>99</v>
      </c>
      <c r="C79" s="5" t="s">
        <v>169</v>
      </c>
      <c r="D79" s="5" t="s">
        <v>170</v>
      </c>
      <c r="E79" s="6"/>
      <c r="F79" s="6"/>
      <c r="G79" s="6"/>
      <c r="H79" s="6"/>
      <c r="I79" s="23"/>
    </row>
    <row r="80" spans="1:9" ht="30" customHeight="1" x14ac:dyDescent="0.3">
      <c r="A80" s="22" t="s">
        <v>171</v>
      </c>
      <c r="B80" s="5" t="s">
        <v>99</v>
      </c>
      <c r="C80" s="5" t="s">
        <v>172</v>
      </c>
      <c r="D80" s="5" t="s">
        <v>173</v>
      </c>
      <c r="E80" s="6"/>
      <c r="F80" s="6"/>
      <c r="G80" s="6"/>
      <c r="H80" s="6"/>
      <c r="I80" s="23"/>
    </row>
    <row r="81" spans="1:9" ht="30" customHeight="1" x14ac:dyDescent="0.3">
      <c r="A81" s="22" t="s">
        <v>174</v>
      </c>
      <c r="B81" s="5" t="s">
        <v>99</v>
      </c>
      <c r="C81" s="5" t="s">
        <v>169</v>
      </c>
      <c r="D81" s="5" t="s">
        <v>175</v>
      </c>
      <c r="E81" s="6"/>
      <c r="F81" s="6"/>
      <c r="G81" s="6"/>
      <c r="H81" s="6"/>
      <c r="I81" s="23"/>
    </row>
    <row r="82" spans="1:9" ht="30" customHeight="1" x14ac:dyDescent="0.3">
      <c r="A82" s="22" t="s">
        <v>176</v>
      </c>
      <c r="B82" s="5" t="s">
        <v>177</v>
      </c>
      <c r="C82" s="5" t="s">
        <v>178</v>
      </c>
      <c r="D82" s="5" t="s">
        <v>179</v>
      </c>
      <c r="E82" s="6"/>
      <c r="F82" s="6"/>
      <c r="G82" s="6"/>
      <c r="H82" s="6"/>
      <c r="I82" s="23"/>
    </row>
    <row r="83" spans="1:9" ht="30" customHeight="1" x14ac:dyDescent="0.3">
      <c r="A83" s="22" t="s">
        <v>180</v>
      </c>
      <c r="B83" s="5" t="s">
        <v>181</v>
      </c>
      <c r="C83" s="5" t="s">
        <v>182</v>
      </c>
      <c r="D83" s="5" t="s">
        <v>183</v>
      </c>
      <c r="E83" s="6"/>
      <c r="F83" s="6"/>
      <c r="G83" s="6"/>
      <c r="H83" s="6"/>
      <c r="I83" s="23"/>
    </row>
    <row r="84" spans="1:9" x14ac:dyDescent="0.3">
      <c r="A84" s="97" t="s">
        <v>184</v>
      </c>
      <c r="B84" s="57"/>
      <c r="C84" s="57"/>
      <c r="D84" s="58"/>
      <c r="E84" s="7" t="str">
        <f>IFERROR(AVERAGE(E79:E83),"")</f>
        <v/>
      </c>
      <c r="F84" s="7" t="str">
        <f>IFERROR(AVERAGE(F79:F83),"")</f>
        <v/>
      </c>
      <c r="G84" s="7" t="str">
        <f>IFERROR(AVERAGE(G79:G83),"")</f>
        <v/>
      </c>
      <c r="H84" s="7" t="str">
        <f>IFERROR(AVERAGE(H79:H83),"")</f>
        <v/>
      </c>
      <c r="I84" s="24" t="str">
        <f>IFERROR(AVERAGE(I79:I83),"")</f>
        <v/>
      </c>
    </row>
    <row r="85" spans="1:9" x14ac:dyDescent="0.3">
      <c r="A85" s="34"/>
      <c r="B85" s="3"/>
      <c r="C85" s="3"/>
      <c r="D85" s="3"/>
      <c r="E85" s="3"/>
      <c r="F85" s="3"/>
      <c r="G85" s="3"/>
      <c r="H85" s="3"/>
      <c r="I85" s="35"/>
    </row>
    <row r="86" spans="1:9" ht="15.75" customHeight="1" x14ac:dyDescent="0.3">
      <c r="A86" s="56" t="s">
        <v>185</v>
      </c>
      <c r="B86" s="57"/>
      <c r="C86" s="57"/>
      <c r="D86" s="57"/>
      <c r="E86" s="57"/>
      <c r="F86" s="57"/>
      <c r="G86" s="57"/>
      <c r="H86" s="57"/>
      <c r="I86" s="58"/>
    </row>
    <row r="87" spans="1:9" ht="24" customHeight="1" x14ac:dyDescent="0.3">
      <c r="A87" s="20" t="s">
        <v>21</v>
      </c>
      <c r="B87" s="4" t="s">
        <v>22</v>
      </c>
      <c r="C87" s="4" t="s">
        <v>23</v>
      </c>
      <c r="D87" s="4" t="s">
        <v>24</v>
      </c>
      <c r="E87" s="4" t="s">
        <v>10</v>
      </c>
      <c r="F87" s="4" t="s">
        <v>11</v>
      </c>
      <c r="G87" s="4" t="s">
        <v>12</v>
      </c>
      <c r="H87" s="4" t="s">
        <v>13</v>
      </c>
      <c r="I87" s="21" t="s">
        <v>14</v>
      </c>
    </row>
    <row r="88" spans="1:9" ht="19.5" customHeight="1" x14ac:dyDescent="0.3">
      <c r="A88" s="25" t="s">
        <v>186</v>
      </c>
      <c r="B88" s="8" t="s">
        <v>187</v>
      </c>
      <c r="C88" s="8" t="s">
        <v>188</v>
      </c>
      <c r="D88" s="8" t="s">
        <v>189</v>
      </c>
      <c r="E88" s="9"/>
      <c r="F88" s="9"/>
      <c r="G88" s="9"/>
      <c r="H88" s="9"/>
      <c r="I88" s="26"/>
    </row>
    <row r="89" spans="1:9" x14ac:dyDescent="0.3">
      <c r="A89" s="34"/>
      <c r="B89" s="3"/>
      <c r="C89" s="3"/>
      <c r="D89" s="3"/>
      <c r="E89" s="3"/>
      <c r="F89" s="3"/>
      <c r="G89" s="3"/>
      <c r="H89" s="3"/>
      <c r="I89" s="35"/>
    </row>
    <row r="90" spans="1:9" ht="15.75" customHeight="1" x14ac:dyDescent="0.3">
      <c r="A90" s="68" t="s">
        <v>190</v>
      </c>
      <c r="B90" s="57"/>
      <c r="C90" s="57"/>
      <c r="D90" s="57"/>
      <c r="E90" s="57"/>
      <c r="F90" s="57"/>
      <c r="G90" s="57"/>
      <c r="H90" s="57"/>
      <c r="I90" s="58"/>
    </row>
    <row r="91" spans="1:9" x14ac:dyDescent="0.3">
      <c r="A91" s="98" t="s">
        <v>191</v>
      </c>
      <c r="B91" s="57"/>
      <c r="C91" s="57"/>
      <c r="D91" s="58"/>
      <c r="E91" s="10" t="s">
        <v>10</v>
      </c>
      <c r="F91" s="10" t="s">
        <v>11</v>
      </c>
      <c r="G91" s="10" t="s">
        <v>12</v>
      </c>
      <c r="H91" s="10" t="s">
        <v>13</v>
      </c>
      <c r="I91" s="27" t="s">
        <v>14</v>
      </c>
    </row>
    <row r="92" spans="1:9" x14ac:dyDescent="0.3">
      <c r="A92" s="97" t="s">
        <v>192</v>
      </c>
      <c r="B92" s="57"/>
      <c r="C92" s="57"/>
      <c r="D92" s="58"/>
      <c r="E92" s="11" t="str">
        <f>IFERROR(AVERAGE(E20:E26,E32:E37,E43:E49,E54:E60,E66:E74,E79:E83),"")</f>
        <v/>
      </c>
      <c r="F92" s="11" t="str">
        <f>IFERROR(AVERAGE(F20:F26,F32:F37,F43:F49,F54:F60,F66:F74,F79:F83),"")</f>
        <v/>
      </c>
      <c r="G92" s="11" t="str">
        <f>IFERROR(AVERAGE(G20:G26,G32:G37,G43:G49,G54:G60,G66:G74,G79:G83),"")</f>
        <v/>
      </c>
      <c r="H92" s="11" t="str">
        <f>IFERROR(AVERAGE(H20:H26,H32:H37,H43:H49,H54:H60,H66:H74,H79:H83),"")</f>
        <v/>
      </c>
      <c r="I92" s="28" t="str">
        <f>IFERROR(AVERAGE(I20:I26,I32:I37,I43:I49,I54:I60,I66:I74,I79:I83),"")</f>
        <v/>
      </c>
    </row>
    <row r="93" spans="1:9" x14ac:dyDescent="0.3">
      <c r="A93" s="97" t="s">
        <v>193</v>
      </c>
      <c r="B93" s="57"/>
      <c r="C93" s="57"/>
      <c r="D93" s="58"/>
      <c r="E93" s="11">
        <f>IFERROR(E88,"")</f>
        <v>0</v>
      </c>
      <c r="F93" s="11">
        <f>IFERROR(F88,"")</f>
        <v>0</v>
      </c>
      <c r="G93" s="11">
        <f>IFERROR(G88,"")</f>
        <v>0</v>
      </c>
      <c r="H93" s="11">
        <f>IFERROR(H88,"")</f>
        <v>0</v>
      </c>
      <c r="I93" s="28">
        <f>IFERROR(I88,"")</f>
        <v>0</v>
      </c>
    </row>
    <row r="94" spans="1:9" x14ac:dyDescent="0.3">
      <c r="A94" s="97" t="s">
        <v>194</v>
      </c>
      <c r="B94" s="57"/>
      <c r="C94" s="57"/>
      <c r="D94" s="58"/>
      <c r="E94" s="7">
        <f>IFERROR(AVERAGE(E92,E93),"")</f>
        <v>0</v>
      </c>
      <c r="F94" s="7">
        <f>IFERROR(AVERAGE(F92,F93),"")</f>
        <v>0</v>
      </c>
      <c r="G94" s="7">
        <f>IFERROR(AVERAGE(G92,G93),"")</f>
        <v>0</v>
      </c>
      <c r="H94" s="7">
        <f>IFERROR(AVERAGE(H92,H93),"")</f>
        <v>0</v>
      </c>
      <c r="I94" s="24">
        <f>IFERROR(AVERAGE(I92,I93),"")</f>
        <v>0</v>
      </c>
    </row>
    <row r="95" spans="1:9" x14ac:dyDescent="0.3">
      <c r="A95" s="96" t="s">
        <v>195</v>
      </c>
      <c r="B95" s="57"/>
      <c r="C95" s="57"/>
      <c r="D95" s="58"/>
      <c r="E95" s="12">
        <f>IFERROR(ABS(E94-3),"")</f>
        <v>3</v>
      </c>
      <c r="F95" s="12">
        <f>IFERROR(ABS(F94-3),"")</f>
        <v>3</v>
      </c>
      <c r="G95" s="12">
        <f>IFERROR(ABS(G94-3),"")</f>
        <v>3</v>
      </c>
      <c r="H95" s="12">
        <f>IFERROR(ABS(H94-3),"")</f>
        <v>3</v>
      </c>
      <c r="I95" s="29">
        <f>IFERROR(ABS(I94-3),"")</f>
        <v>3</v>
      </c>
    </row>
    <row r="96" spans="1:9" x14ac:dyDescent="0.3">
      <c r="A96" s="97" t="s">
        <v>196</v>
      </c>
      <c r="B96" s="57"/>
      <c r="C96" s="57"/>
      <c r="D96" s="58"/>
      <c r="E96" s="10">
        <f>IFERROR(RANK(E95,$E$95:$I$95,1),"")</f>
        <v>1</v>
      </c>
      <c r="F96" s="10">
        <f>IFERROR(RANK(F95,$E$95:$I$95,1),"")</f>
        <v>1</v>
      </c>
      <c r="G96" s="10">
        <f>IFERROR(RANK(G95,$E$95:$I$95,1),"")</f>
        <v>1</v>
      </c>
      <c r="H96" s="10">
        <f>IFERROR(RANK(H95,$E$95:$I$95,1),"")</f>
        <v>1</v>
      </c>
      <c r="I96" s="27">
        <f>IFERROR(RANK(I95,$E$95:$I$95,1),"")</f>
        <v>1</v>
      </c>
    </row>
    <row r="97" spans="1:9" x14ac:dyDescent="0.3">
      <c r="A97" s="34"/>
      <c r="B97" s="3"/>
      <c r="C97" s="3"/>
      <c r="D97" s="3"/>
      <c r="E97" s="3"/>
      <c r="F97" s="3"/>
      <c r="G97" s="3"/>
      <c r="H97" s="3"/>
      <c r="I97" s="35"/>
    </row>
    <row r="98" spans="1:9" x14ac:dyDescent="0.3">
      <c r="A98" s="69" t="s">
        <v>197</v>
      </c>
      <c r="B98" s="57"/>
      <c r="C98" s="57"/>
      <c r="D98" s="57"/>
      <c r="E98" s="57"/>
      <c r="F98" s="57"/>
      <c r="G98" s="57"/>
      <c r="H98" s="57"/>
      <c r="I98" s="58"/>
    </row>
    <row r="99" spans="1:9" ht="18" customHeight="1" x14ac:dyDescent="0.3">
      <c r="A99" s="36" t="s">
        <v>198</v>
      </c>
      <c r="B99" s="62"/>
      <c r="C99" s="57"/>
      <c r="D99" s="57"/>
      <c r="E99" s="57"/>
      <c r="F99" s="57"/>
      <c r="G99" s="57"/>
      <c r="H99" s="57"/>
      <c r="I99" s="58"/>
    </row>
    <row r="100" spans="1:9" ht="18" customHeight="1" x14ac:dyDescent="0.3">
      <c r="A100" s="36" t="s">
        <v>199</v>
      </c>
      <c r="B100" s="62"/>
      <c r="C100" s="57"/>
      <c r="D100" s="57"/>
      <c r="E100" s="57"/>
      <c r="F100" s="57"/>
      <c r="G100" s="57"/>
      <c r="H100" s="57"/>
      <c r="I100" s="58"/>
    </row>
    <row r="101" spans="1:9" ht="18" customHeight="1" x14ac:dyDescent="0.3">
      <c r="A101" s="36" t="s">
        <v>200</v>
      </c>
      <c r="B101" s="62"/>
      <c r="C101" s="57"/>
      <c r="D101" s="57"/>
      <c r="E101" s="57"/>
      <c r="F101" s="57"/>
      <c r="G101" s="57"/>
      <c r="H101" s="57"/>
      <c r="I101" s="58"/>
    </row>
    <row r="102" spans="1:9" ht="18" customHeight="1" x14ac:dyDescent="0.3">
      <c r="A102" s="36" t="s">
        <v>201</v>
      </c>
      <c r="B102" s="62"/>
      <c r="C102" s="57"/>
      <c r="D102" s="57"/>
      <c r="E102" s="57"/>
      <c r="F102" s="57"/>
      <c r="G102" s="57"/>
      <c r="H102" s="57"/>
      <c r="I102" s="58"/>
    </row>
    <row r="103" spans="1:9" ht="18" customHeight="1" x14ac:dyDescent="0.3">
      <c r="A103" s="36" t="s">
        <v>202</v>
      </c>
      <c r="B103" s="62"/>
      <c r="C103" s="57"/>
      <c r="D103" s="57"/>
      <c r="E103" s="57"/>
      <c r="F103" s="57"/>
      <c r="G103" s="57"/>
      <c r="H103" s="57"/>
      <c r="I103" s="58"/>
    </row>
    <row r="104" spans="1:9" x14ac:dyDescent="0.3">
      <c r="A104" s="34"/>
      <c r="B104" s="3"/>
      <c r="C104" s="3"/>
      <c r="D104" s="3"/>
      <c r="E104" s="3"/>
      <c r="F104" s="3"/>
      <c r="G104" s="3"/>
      <c r="H104" s="3"/>
      <c r="I104" s="35"/>
    </row>
    <row r="105" spans="1:9" ht="15" customHeight="1" thickBot="1" x14ac:dyDescent="0.35">
      <c r="A105" s="41" t="s">
        <v>203</v>
      </c>
      <c r="B105" s="53"/>
      <c r="C105" s="55"/>
      <c r="D105" s="42" t="s">
        <v>204</v>
      </c>
      <c r="E105" s="53"/>
      <c r="F105" s="54"/>
      <c r="G105" s="54"/>
      <c r="H105" s="55"/>
      <c r="I105" s="43" t="s">
        <v>4</v>
      </c>
    </row>
  </sheetData>
  <mergeCells count="47">
    <mergeCell ref="B100:I100"/>
    <mergeCell ref="B7:C7"/>
    <mergeCell ref="A91:D91"/>
    <mergeCell ref="A38:D38"/>
    <mergeCell ref="A96:D96"/>
    <mergeCell ref="A18:I18"/>
    <mergeCell ref="E7:I7"/>
    <mergeCell ref="A12:D12"/>
    <mergeCell ref="A50:D50"/>
    <mergeCell ref="B102:I102"/>
    <mergeCell ref="A10:D10"/>
    <mergeCell ref="B105:C105"/>
    <mergeCell ref="A93:D93"/>
    <mergeCell ref="A13:D13"/>
    <mergeCell ref="A86:I86"/>
    <mergeCell ref="B101:I101"/>
    <mergeCell ref="A94:D94"/>
    <mergeCell ref="B103:I103"/>
    <mergeCell ref="B99:I99"/>
    <mergeCell ref="A64:I64"/>
    <mergeCell ref="A75:D75"/>
    <mergeCell ref="A27:D27"/>
    <mergeCell ref="A98:I98"/>
    <mergeCell ref="A41:I41"/>
    <mergeCell ref="A90:I90"/>
    <mergeCell ref="A39:I39"/>
    <mergeCell ref="A77:I77"/>
    <mergeCell ref="A84:D84"/>
    <mergeCell ref="A30:I30"/>
    <mergeCell ref="A3:I3"/>
    <mergeCell ref="B6:C6"/>
    <mergeCell ref="E105:H105"/>
    <mergeCell ref="A1:I1"/>
    <mergeCell ref="A95:D95"/>
    <mergeCell ref="A14:D14"/>
    <mergeCell ref="A2:I2"/>
    <mergeCell ref="A5:C5"/>
    <mergeCell ref="A92:D92"/>
    <mergeCell ref="A16:I16"/>
    <mergeCell ref="A11:D11"/>
    <mergeCell ref="A62:I62"/>
    <mergeCell ref="A52:I52"/>
    <mergeCell ref="A61:D61"/>
    <mergeCell ref="E6:I6"/>
    <mergeCell ref="A28:I28"/>
    <mergeCell ref="D5:I5"/>
    <mergeCell ref="A9:I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79"/>
  <sheetViews>
    <sheetView showGridLines="0" topLeftCell="A42" workbookViewId="0">
      <selection activeCell="B42" sqref="B42"/>
    </sheetView>
  </sheetViews>
  <sheetFormatPr defaultColWidth="8.6640625" defaultRowHeight="18" x14ac:dyDescent="0.35"/>
  <cols>
    <col min="1" max="4" width="38.77734375" style="49" customWidth="1"/>
    <col min="5" max="10" width="12.77734375" customWidth="1"/>
  </cols>
  <sheetData>
    <row r="1" spans="1:10" ht="19.5" customHeigh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ht="24" customHeight="1" x14ac:dyDescent="0.3">
      <c r="A2" s="73" t="s">
        <v>902</v>
      </c>
      <c r="B2" s="57"/>
      <c r="C2" s="57"/>
      <c r="D2" s="57"/>
      <c r="E2" s="57"/>
      <c r="F2" s="57"/>
      <c r="G2" s="57"/>
      <c r="H2" s="57"/>
      <c r="I2" s="57"/>
      <c r="J2" s="58"/>
    </row>
    <row r="3" spans="1:10" ht="27.75" customHeight="1" x14ac:dyDescent="0.3">
      <c r="A3" s="63" t="s">
        <v>903</v>
      </c>
      <c r="B3" s="57"/>
      <c r="C3" s="57"/>
      <c r="D3" s="57"/>
      <c r="E3" s="57"/>
      <c r="F3" s="57"/>
      <c r="G3" s="57"/>
      <c r="H3" s="57"/>
      <c r="I3" s="57"/>
      <c r="J3" s="58"/>
    </row>
    <row r="5" spans="1:10" x14ac:dyDescent="0.35">
      <c r="A5" s="59" t="s">
        <v>3</v>
      </c>
      <c r="B5" s="60"/>
      <c r="C5" s="61"/>
      <c r="D5" s="62"/>
      <c r="E5" s="57"/>
      <c r="F5" s="57"/>
      <c r="G5" s="57"/>
      <c r="H5" s="57"/>
      <c r="I5" s="57"/>
      <c r="J5" s="58"/>
    </row>
    <row r="6" spans="1:10" x14ac:dyDescent="0.35">
      <c r="A6" s="44" t="s">
        <v>4</v>
      </c>
      <c r="B6" s="71"/>
      <c r="C6" s="61"/>
      <c r="D6" s="44" t="s">
        <v>5</v>
      </c>
      <c r="E6" s="62"/>
      <c r="F6" s="57"/>
      <c r="G6" s="57"/>
      <c r="H6" s="57"/>
      <c r="I6" s="57"/>
      <c r="J6" s="58"/>
    </row>
    <row r="7" spans="1:10" x14ac:dyDescent="0.35">
      <c r="A7" s="44" t="s">
        <v>6</v>
      </c>
      <c r="B7" s="71"/>
      <c r="C7" s="61"/>
      <c r="D7" s="44" t="s">
        <v>7</v>
      </c>
      <c r="E7" s="62"/>
      <c r="F7" s="57"/>
      <c r="G7" s="57"/>
      <c r="H7" s="57"/>
      <c r="I7" s="57"/>
      <c r="J7" s="58"/>
    </row>
    <row r="9" spans="1:10" ht="15.75" customHeight="1" x14ac:dyDescent="0.3">
      <c r="A9" s="56" t="s">
        <v>904</v>
      </c>
      <c r="B9" s="57"/>
      <c r="C9" s="57"/>
      <c r="D9" s="57"/>
      <c r="E9" s="57"/>
      <c r="F9" s="57"/>
      <c r="G9" s="57"/>
      <c r="H9" s="57"/>
      <c r="I9" s="57"/>
      <c r="J9" s="58"/>
    </row>
    <row r="10" spans="1:10" ht="23.4" x14ac:dyDescent="0.35">
      <c r="A10" s="64" t="s">
        <v>9</v>
      </c>
      <c r="B10" s="60"/>
      <c r="C10" s="60"/>
      <c r="D10" s="61"/>
      <c r="E10" s="52">
        <v>113</v>
      </c>
      <c r="F10" s="52">
        <v>124</v>
      </c>
      <c r="G10" s="52">
        <v>139</v>
      </c>
      <c r="H10" s="52">
        <v>142</v>
      </c>
      <c r="I10" s="52">
        <v>157</v>
      </c>
      <c r="J10" s="52">
        <v>164</v>
      </c>
    </row>
    <row r="11" spans="1:10" x14ac:dyDescent="0.35">
      <c r="A11" s="59" t="s">
        <v>15</v>
      </c>
      <c r="B11" s="60"/>
      <c r="C11" s="60"/>
      <c r="D11" s="61"/>
      <c r="E11" s="3"/>
      <c r="F11" s="3"/>
      <c r="G11" s="3"/>
      <c r="H11" s="3"/>
      <c r="I11" s="3"/>
      <c r="J11" s="3"/>
    </row>
    <row r="12" spans="1:10" x14ac:dyDescent="0.35">
      <c r="A12" s="59" t="s">
        <v>16</v>
      </c>
      <c r="B12" s="60"/>
      <c r="C12" s="60"/>
      <c r="D12" s="61"/>
      <c r="E12" s="3"/>
      <c r="F12" s="3"/>
      <c r="G12" s="3"/>
      <c r="H12" s="3"/>
      <c r="I12" s="3"/>
      <c r="J12" s="3"/>
    </row>
    <row r="13" spans="1:10" x14ac:dyDescent="0.35">
      <c r="A13" s="59" t="s">
        <v>17</v>
      </c>
      <c r="B13" s="60"/>
      <c r="C13" s="60"/>
      <c r="D13" s="61"/>
      <c r="E13" s="3"/>
      <c r="F13" s="3"/>
      <c r="G13" s="3"/>
      <c r="H13" s="3"/>
      <c r="I13" s="3"/>
      <c r="J13" s="3"/>
    </row>
    <row r="14" spans="1:10" x14ac:dyDescent="0.35">
      <c r="A14" s="59" t="s">
        <v>18</v>
      </c>
      <c r="B14" s="60"/>
      <c r="C14" s="60"/>
      <c r="D14" s="61"/>
      <c r="E14" s="3"/>
      <c r="F14" s="3"/>
      <c r="G14" s="3"/>
      <c r="H14" s="3"/>
      <c r="I14" s="3"/>
      <c r="J14" s="3"/>
    </row>
    <row r="16" spans="1:10" ht="25.5" customHeight="1" x14ac:dyDescent="0.3">
      <c r="A16" s="70" t="s">
        <v>19</v>
      </c>
      <c r="B16" s="57"/>
      <c r="C16" s="57"/>
      <c r="D16" s="57"/>
      <c r="E16" s="57"/>
      <c r="F16" s="57"/>
      <c r="G16" s="57"/>
      <c r="H16" s="57"/>
      <c r="I16" s="57"/>
      <c r="J16" s="58"/>
    </row>
    <row r="18" spans="1:10" ht="15.75" customHeight="1" x14ac:dyDescent="0.3">
      <c r="A18" s="56" t="s">
        <v>905</v>
      </c>
      <c r="B18" s="57"/>
      <c r="C18" s="57"/>
      <c r="D18" s="57"/>
      <c r="E18" s="57"/>
      <c r="F18" s="57"/>
      <c r="G18" s="57"/>
      <c r="H18" s="57"/>
      <c r="I18" s="57"/>
      <c r="J18" s="58"/>
    </row>
    <row r="19" spans="1:10" ht="24" customHeight="1" x14ac:dyDescent="0.3">
      <c r="A19" s="45" t="s">
        <v>21</v>
      </c>
      <c r="B19" s="46" t="s">
        <v>22</v>
      </c>
      <c r="C19" s="46" t="s">
        <v>23</v>
      </c>
      <c r="D19" s="46" t="s">
        <v>24</v>
      </c>
      <c r="E19" s="4"/>
      <c r="F19" s="4"/>
      <c r="G19" s="4"/>
      <c r="H19" s="4"/>
      <c r="I19" s="4"/>
      <c r="J19" s="4"/>
    </row>
    <row r="20" spans="1:10" ht="36" x14ac:dyDescent="0.3">
      <c r="A20" s="47" t="s">
        <v>906</v>
      </c>
      <c r="B20" s="48" t="s">
        <v>907</v>
      </c>
      <c r="C20" s="48" t="s">
        <v>908</v>
      </c>
      <c r="D20" s="48" t="s">
        <v>909</v>
      </c>
      <c r="E20" s="6"/>
      <c r="F20" s="6"/>
      <c r="G20" s="6"/>
      <c r="H20" s="6"/>
      <c r="I20" s="6"/>
      <c r="J20" s="6"/>
    </row>
    <row r="21" spans="1:10" ht="36" x14ac:dyDescent="0.3">
      <c r="A21" s="47" t="s">
        <v>29</v>
      </c>
      <c r="B21" s="48" t="s">
        <v>910</v>
      </c>
      <c r="C21" s="48" t="s">
        <v>911</v>
      </c>
      <c r="D21" s="48" t="s">
        <v>227</v>
      </c>
      <c r="E21" s="6"/>
      <c r="F21" s="6"/>
      <c r="G21" s="6"/>
      <c r="H21" s="6"/>
      <c r="I21" s="6"/>
      <c r="J21" s="6"/>
    </row>
    <row r="22" spans="1:10" ht="36" x14ac:dyDescent="0.3">
      <c r="A22" s="47" t="s">
        <v>912</v>
      </c>
      <c r="B22" s="48" t="s">
        <v>913</v>
      </c>
      <c r="C22" s="48" t="s">
        <v>914</v>
      </c>
      <c r="D22" s="48" t="s">
        <v>915</v>
      </c>
      <c r="E22" s="6"/>
      <c r="F22" s="6"/>
      <c r="G22" s="6"/>
      <c r="H22" s="6"/>
      <c r="I22" s="6"/>
      <c r="J22" s="6"/>
    </row>
    <row r="23" spans="1:10" ht="36" x14ac:dyDescent="0.3">
      <c r="A23" s="47" t="s">
        <v>916</v>
      </c>
      <c r="B23" s="48" t="s">
        <v>917</v>
      </c>
      <c r="C23" s="48" t="s">
        <v>918</v>
      </c>
      <c r="D23" s="48" t="s">
        <v>919</v>
      </c>
      <c r="E23" s="6"/>
      <c r="F23" s="6"/>
      <c r="G23" s="6"/>
      <c r="H23" s="6"/>
      <c r="I23" s="6"/>
      <c r="J23" s="6"/>
    </row>
    <row r="24" spans="1:10" x14ac:dyDescent="0.35">
      <c r="A24" s="59" t="s">
        <v>53</v>
      </c>
      <c r="B24" s="60"/>
      <c r="C24" s="60"/>
      <c r="D24" s="61"/>
      <c r="E24" s="7" t="str">
        <f t="shared" ref="E24:J24" si="0">IFERROR(AVERAGE(E20:E23),"")</f>
        <v/>
      </c>
      <c r="F24" s="7" t="str">
        <f t="shared" si="0"/>
        <v/>
      </c>
      <c r="G24" s="7" t="str">
        <f t="shared" si="0"/>
        <v/>
      </c>
      <c r="H24" s="7" t="str">
        <f t="shared" si="0"/>
        <v/>
      </c>
      <c r="I24" s="7" t="str">
        <f t="shared" si="0"/>
        <v/>
      </c>
      <c r="J24" s="7" t="str">
        <f t="shared" si="0"/>
        <v/>
      </c>
    </row>
    <row r="26" spans="1:10" ht="15.75" customHeight="1" x14ac:dyDescent="0.3">
      <c r="A26" s="56" t="s">
        <v>920</v>
      </c>
      <c r="B26" s="57"/>
      <c r="C26" s="57"/>
      <c r="D26" s="57"/>
      <c r="E26" s="57"/>
      <c r="F26" s="57"/>
      <c r="G26" s="57"/>
      <c r="H26" s="57"/>
      <c r="I26" s="57"/>
      <c r="J26" s="58"/>
    </row>
    <row r="27" spans="1:10" ht="24" customHeight="1" x14ac:dyDescent="0.3">
      <c r="A27" s="45" t="s">
        <v>21</v>
      </c>
      <c r="B27" s="46" t="s">
        <v>22</v>
      </c>
      <c r="C27" s="46" t="s">
        <v>23</v>
      </c>
      <c r="D27" s="46" t="s">
        <v>24</v>
      </c>
      <c r="E27" s="4"/>
      <c r="F27" s="4"/>
      <c r="G27" s="4"/>
      <c r="H27" s="4"/>
      <c r="I27" s="4"/>
      <c r="J27" s="4"/>
    </row>
    <row r="28" spans="1:10" ht="30" customHeight="1" x14ac:dyDescent="0.3">
      <c r="A28" s="47" t="s">
        <v>921</v>
      </c>
      <c r="B28" s="48" t="s">
        <v>922</v>
      </c>
      <c r="C28" s="48" t="s">
        <v>47</v>
      </c>
      <c r="D28" s="48" t="s">
        <v>923</v>
      </c>
      <c r="E28" s="6"/>
      <c r="F28" s="6"/>
      <c r="G28" s="6"/>
      <c r="H28" s="6"/>
      <c r="I28" s="6"/>
      <c r="J28" s="6"/>
    </row>
    <row r="29" spans="1:10" ht="30" customHeight="1" x14ac:dyDescent="0.3">
      <c r="A29" s="47" t="s">
        <v>924</v>
      </c>
      <c r="B29" s="48" t="s">
        <v>925</v>
      </c>
      <c r="C29" s="48" t="s">
        <v>31</v>
      </c>
      <c r="D29" s="48" t="s">
        <v>926</v>
      </c>
      <c r="E29" s="6"/>
      <c r="F29" s="6"/>
      <c r="G29" s="6"/>
      <c r="H29" s="6"/>
      <c r="I29" s="6"/>
      <c r="J29" s="6"/>
    </row>
    <row r="30" spans="1:10" x14ac:dyDescent="0.35">
      <c r="A30" s="59" t="s">
        <v>80</v>
      </c>
      <c r="B30" s="60"/>
      <c r="C30" s="60"/>
      <c r="D30" s="61"/>
      <c r="E30" s="7" t="str">
        <f t="shared" ref="E30:J30" si="1">IFERROR(AVERAGE(E28:E29),"")</f>
        <v/>
      </c>
      <c r="F30" s="7" t="str">
        <f t="shared" si="1"/>
        <v/>
      </c>
      <c r="G30" s="7" t="str">
        <f t="shared" si="1"/>
        <v/>
      </c>
      <c r="H30" s="7" t="str">
        <f t="shared" si="1"/>
        <v/>
      </c>
      <c r="I30" s="7" t="str">
        <f t="shared" si="1"/>
        <v/>
      </c>
      <c r="J30" s="7" t="str">
        <f t="shared" si="1"/>
        <v/>
      </c>
    </row>
    <row r="32" spans="1:10" ht="15.75" customHeight="1" x14ac:dyDescent="0.3">
      <c r="A32" s="56" t="s">
        <v>82</v>
      </c>
      <c r="B32" s="57"/>
      <c r="C32" s="57"/>
      <c r="D32" s="57"/>
      <c r="E32" s="57"/>
      <c r="F32" s="57"/>
      <c r="G32" s="57"/>
      <c r="H32" s="57"/>
      <c r="I32" s="57"/>
      <c r="J32" s="58"/>
    </row>
    <row r="33" spans="1:10" ht="24" customHeight="1" x14ac:dyDescent="0.3">
      <c r="A33" s="45" t="s">
        <v>21</v>
      </c>
      <c r="B33" s="46" t="s">
        <v>22</v>
      </c>
      <c r="C33" s="46" t="s">
        <v>23</v>
      </c>
      <c r="D33" s="46" t="s">
        <v>24</v>
      </c>
      <c r="E33" s="4"/>
      <c r="F33" s="4"/>
      <c r="G33" s="4"/>
      <c r="H33" s="4"/>
      <c r="I33" s="4"/>
      <c r="J33" s="4"/>
    </row>
    <row r="34" spans="1:10" ht="30" customHeight="1" x14ac:dyDescent="0.3">
      <c r="A34" s="47" t="s">
        <v>947</v>
      </c>
      <c r="B34" s="48" t="s">
        <v>927</v>
      </c>
      <c r="C34" s="48" t="s">
        <v>928</v>
      </c>
      <c r="D34" s="48" t="s">
        <v>929</v>
      </c>
      <c r="E34" s="6"/>
      <c r="F34" s="6"/>
      <c r="G34" s="6"/>
      <c r="H34" s="6"/>
      <c r="I34" s="6"/>
      <c r="J34" s="6"/>
    </row>
    <row r="35" spans="1:10" ht="30" customHeight="1" x14ac:dyDescent="0.3">
      <c r="A35" s="47" t="s">
        <v>876</v>
      </c>
      <c r="B35" s="48" t="s">
        <v>92</v>
      </c>
      <c r="C35" s="48" t="s">
        <v>313</v>
      </c>
      <c r="D35" s="48" t="s">
        <v>94</v>
      </c>
      <c r="E35" s="6"/>
      <c r="F35" s="6"/>
      <c r="G35" s="6"/>
      <c r="H35" s="6"/>
      <c r="I35" s="6"/>
      <c r="J35" s="6"/>
    </row>
    <row r="36" spans="1:10" ht="36" x14ac:dyDescent="0.3">
      <c r="A36" s="47" t="s">
        <v>930</v>
      </c>
      <c r="B36" s="48" t="s">
        <v>931</v>
      </c>
      <c r="C36" s="48" t="s">
        <v>932</v>
      </c>
      <c r="D36" s="48" t="s">
        <v>933</v>
      </c>
      <c r="E36" s="6"/>
      <c r="F36" s="6"/>
      <c r="G36" s="6"/>
      <c r="H36" s="6"/>
      <c r="I36" s="6"/>
      <c r="J36" s="6"/>
    </row>
    <row r="37" spans="1:10" x14ac:dyDescent="0.35">
      <c r="A37" s="59" t="s">
        <v>108</v>
      </c>
      <c r="B37" s="60"/>
      <c r="C37" s="60"/>
      <c r="D37" s="61"/>
      <c r="E37" s="7" t="str">
        <f t="shared" ref="E37:J37" si="2">IFERROR(AVERAGE(E34:E36),"")</f>
        <v/>
      </c>
      <c r="F37" s="7" t="str">
        <f t="shared" si="2"/>
        <v/>
      </c>
      <c r="G37" s="7" t="str">
        <f t="shared" si="2"/>
        <v/>
      </c>
      <c r="H37" s="7" t="str">
        <f t="shared" si="2"/>
        <v/>
      </c>
      <c r="I37" s="7" t="str">
        <f t="shared" si="2"/>
        <v/>
      </c>
      <c r="J37" s="7" t="str">
        <f t="shared" si="2"/>
        <v/>
      </c>
    </row>
    <row r="39" spans="1:10" ht="15.75" customHeight="1" x14ac:dyDescent="0.3">
      <c r="A39" s="56" t="s">
        <v>109</v>
      </c>
      <c r="B39" s="57"/>
      <c r="C39" s="57"/>
      <c r="D39" s="57"/>
      <c r="E39" s="57"/>
      <c r="F39" s="57"/>
      <c r="G39" s="57"/>
      <c r="H39" s="57"/>
      <c r="I39" s="57"/>
      <c r="J39" s="58"/>
    </row>
    <row r="40" spans="1:10" ht="24" customHeight="1" x14ac:dyDescent="0.3">
      <c r="A40" s="45" t="s">
        <v>21</v>
      </c>
      <c r="B40" s="46" t="s">
        <v>22</v>
      </c>
      <c r="C40" s="46" t="s">
        <v>23</v>
      </c>
      <c r="D40" s="46" t="s">
        <v>24</v>
      </c>
      <c r="E40" s="4"/>
      <c r="F40" s="4"/>
      <c r="G40" s="4"/>
      <c r="H40" s="4"/>
      <c r="I40" s="4"/>
      <c r="J40" s="4"/>
    </row>
    <row r="41" spans="1:10" ht="36" x14ac:dyDescent="0.3">
      <c r="A41" s="47" t="s">
        <v>934</v>
      </c>
      <c r="B41" s="48" t="s">
        <v>935</v>
      </c>
      <c r="C41" s="48" t="s">
        <v>936</v>
      </c>
      <c r="D41" s="48" t="s">
        <v>937</v>
      </c>
      <c r="E41" s="6"/>
      <c r="F41" s="6"/>
      <c r="G41" s="6"/>
      <c r="H41" s="6"/>
      <c r="I41" s="6"/>
      <c r="J41" s="6"/>
    </row>
    <row r="42" spans="1:10" x14ac:dyDescent="0.3">
      <c r="A42" s="47" t="s">
        <v>938</v>
      </c>
      <c r="B42" s="48" t="s">
        <v>115</v>
      </c>
      <c r="C42" s="48" t="s">
        <v>504</v>
      </c>
      <c r="D42" s="48" t="s">
        <v>939</v>
      </c>
      <c r="E42" s="6"/>
      <c r="F42" s="6"/>
      <c r="G42" s="6"/>
      <c r="H42" s="6"/>
      <c r="I42" s="6"/>
      <c r="J42" s="6"/>
    </row>
    <row r="43" spans="1:10" ht="36" x14ac:dyDescent="0.3">
      <c r="A43" s="47" t="s">
        <v>118</v>
      </c>
      <c r="B43" s="48" t="s">
        <v>940</v>
      </c>
      <c r="C43" s="48" t="s">
        <v>78</v>
      </c>
      <c r="D43" s="48" t="s">
        <v>941</v>
      </c>
      <c r="E43" s="6"/>
      <c r="F43" s="6"/>
      <c r="G43" s="6"/>
      <c r="H43" s="6"/>
      <c r="I43" s="6"/>
      <c r="J43" s="6"/>
    </row>
    <row r="44" spans="1:10" ht="30" customHeight="1" x14ac:dyDescent="0.3">
      <c r="A44" s="47" t="s">
        <v>629</v>
      </c>
      <c r="B44" s="48" t="s">
        <v>422</v>
      </c>
      <c r="C44" s="48" t="s">
        <v>78</v>
      </c>
      <c r="D44" s="48" t="s">
        <v>630</v>
      </c>
      <c r="E44" s="6"/>
      <c r="F44" s="6"/>
      <c r="G44" s="6"/>
      <c r="H44" s="6"/>
      <c r="I44" s="6"/>
      <c r="J44" s="6"/>
    </row>
    <row r="45" spans="1:10" x14ac:dyDescent="0.35">
      <c r="A45" s="59" t="s">
        <v>137</v>
      </c>
      <c r="B45" s="60"/>
      <c r="C45" s="60"/>
      <c r="D45" s="61"/>
      <c r="E45" s="7" t="str">
        <f t="shared" ref="E45:J45" si="3">IFERROR(AVERAGE(E41:E44),"")</f>
        <v/>
      </c>
      <c r="F45" s="7" t="str">
        <f t="shared" si="3"/>
        <v/>
      </c>
      <c r="G45" s="7" t="str">
        <f t="shared" si="3"/>
        <v/>
      </c>
      <c r="H45" s="7" t="str">
        <f t="shared" si="3"/>
        <v/>
      </c>
      <c r="I45" s="7" t="str">
        <f t="shared" si="3"/>
        <v/>
      </c>
      <c r="J45" s="7" t="str">
        <f t="shared" si="3"/>
        <v/>
      </c>
    </row>
    <row r="47" spans="1:10" ht="15.75" customHeight="1" x14ac:dyDescent="0.3">
      <c r="A47" s="56" t="s">
        <v>139</v>
      </c>
      <c r="B47" s="57"/>
      <c r="C47" s="57"/>
      <c r="D47" s="57"/>
      <c r="E47" s="57"/>
      <c r="F47" s="57"/>
      <c r="G47" s="57"/>
      <c r="H47" s="57"/>
      <c r="I47" s="57"/>
      <c r="J47" s="58"/>
    </row>
    <row r="48" spans="1:10" ht="24" customHeight="1" x14ac:dyDescent="0.3">
      <c r="A48" s="45" t="s">
        <v>21</v>
      </c>
      <c r="B48" s="46" t="s">
        <v>22</v>
      </c>
      <c r="C48" s="46" t="s">
        <v>23</v>
      </c>
      <c r="D48" s="46" t="s">
        <v>24</v>
      </c>
      <c r="E48" s="4"/>
      <c r="F48" s="4"/>
      <c r="G48" s="4"/>
      <c r="H48" s="4"/>
      <c r="I48" s="4"/>
      <c r="J48" s="4"/>
    </row>
    <row r="49" spans="1:10" ht="30" customHeight="1" x14ac:dyDescent="0.3">
      <c r="A49" s="47" t="s">
        <v>140</v>
      </c>
      <c r="B49" s="48" t="s">
        <v>141</v>
      </c>
      <c r="C49" s="48" t="s">
        <v>142</v>
      </c>
      <c r="D49" s="48" t="s">
        <v>143</v>
      </c>
      <c r="E49" s="6"/>
      <c r="F49" s="6"/>
      <c r="G49" s="6"/>
      <c r="H49" s="6"/>
      <c r="I49" s="6"/>
      <c r="J49" s="6"/>
    </row>
    <row r="50" spans="1:10" ht="30" customHeight="1" x14ac:dyDescent="0.3">
      <c r="A50" s="47" t="s">
        <v>144</v>
      </c>
      <c r="B50" s="48" t="s">
        <v>145</v>
      </c>
      <c r="C50" s="48" t="s">
        <v>146</v>
      </c>
      <c r="D50" s="48" t="s">
        <v>147</v>
      </c>
      <c r="E50" s="6"/>
      <c r="F50" s="6"/>
      <c r="G50" s="6"/>
      <c r="H50" s="6"/>
      <c r="I50" s="6"/>
      <c r="J50" s="6"/>
    </row>
    <row r="51" spans="1:10" ht="30" customHeight="1" x14ac:dyDescent="0.3">
      <c r="A51" s="47" t="s">
        <v>151</v>
      </c>
      <c r="B51" s="48" t="s">
        <v>632</v>
      </c>
      <c r="C51" s="48" t="s">
        <v>78</v>
      </c>
      <c r="D51" s="48" t="s">
        <v>153</v>
      </c>
      <c r="E51" s="6"/>
      <c r="F51" s="6"/>
      <c r="G51" s="6"/>
      <c r="H51" s="6"/>
      <c r="I51" s="6"/>
      <c r="J51" s="6"/>
    </row>
    <row r="52" spans="1:10" ht="30" customHeight="1" x14ac:dyDescent="0.3">
      <c r="A52" s="47" t="s">
        <v>942</v>
      </c>
      <c r="B52" s="48" t="s">
        <v>99</v>
      </c>
      <c r="C52" s="48" t="s">
        <v>178</v>
      </c>
      <c r="D52" s="48" t="s">
        <v>943</v>
      </c>
      <c r="E52" s="6"/>
      <c r="F52" s="6"/>
      <c r="G52" s="6"/>
      <c r="H52" s="6"/>
      <c r="I52" s="6"/>
      <c r="J52" s="6"/>
    </row>
    <row r="53" spans="1:10" x14ac:dyDescent="0.35">
      <c r="A53" s="59" t="s">
        <v>166</v>
      </c>
      <c r="B53" s="60"/>
      <c r="C53" s="60"/>
      <c r="D53" s="61"/>
      <c r="E53" s="7" t="str">
        <f t="shared" ref="E53:J53" si="4">IFERROR(AVERAGE(E49:E52),"")</f>
        <v/>
      </c>
      <c r="F53" s="7" t="str">
        <f t="shared" si="4"/>
        <v/>
      </c>
      <c r="G53" s="7" t="str">
        <f t="shared" si="4"/>
        <v/>
      </c>
      <c r="H53" s="7" t="str">
        <f t="shared" si="4"/>
        <v/>
      </c>
      <c r="I53" s="7" t="str">
        <f t="shared" si="4"/>
        <v/>
      </c>
      <c r="J53" s="7" t="str">
        <f t="shared" si="4"/>
        <v/>
      </c>
    </row>
    <row r="55" spans="1:10" ht="15.75" customHeight="1" x14ac:dyDescent="0.3">
      <c r="A55" s="56" t="s">
        <v>167</v>
      </c>
      <c r="B55" s="57"/>
      <c r="C55" s="57"/>
      <c r="D55" s="57"/>
      <c r="E55" s="57"/>
      <c r="F55" s="57"/>
      <c r="G55" s="57"/>
      <c r="H55" s="57"/>
      <c r="I55" s="57"/>
      <c r="J55" s="58"/>
    </row>
    <row r="56" spans="1:10" ht="24" customHeight="1" x14ac:dyDescent="0.3">
      <c r="A56" s="45" t="s">
        <v>21</v>
      </c>
      <c r="B56" s="46" t="s">
        <v>22</v>
      </c>
      <c r="C56" s="46" t="s">
        <v>23</v>
      </c>
      <c r="D56" s="46" t="s">
        <v>24</v>
      </c>
      <c r="E56" s="4"/>
      <c r="F56" s="4"/>
      <c r="G56" s="4"/>
      <c r="H56" s="4"/>
      <c r="I56" s="4"/>
      <c r="J56" s="4"/>
    </row>
    <row r="57" spans="1:10" ht="36" x14ac:dyDescent="0.3">
      <c r="A57" s="47" t="s">
        <v>944</v>
      </c>
      <c r="B57" s="48" t="s">
        <v>99</v>
      </c>
      <c r="C57" s="48" t="s">
        <v>169</v>
      </c>
      <c r="D57" s="48" t="s">
        <v>945</v>
      </c>
      <c r="E57" s="6"/>
      <c r="F57" s="6"/>
      <c r="G57" s="6"/>
      <c r="H57" s="6"/>
      <c r="I57" s="6"/>
      <c r="J57" s="6"/>
    </row>
    <row r="58" spans="1:10" ht="36" x14ac:dyDescent="0.3">
      <c r="A58" s="47" t="s">
        <v>176</v>
      </c>
      <c r="B58" s="48" t="s">
        <v>177</v>
      </c>
      <c r="C58" s="48" t="s">
        <v>178</v>
      </c>
      <c r="D58" s="48" t="s">
        <v>179</v>
      </c>
      <c r="E58" s="6"/>
      <c r="F58" s="6"/>
      <c r="G58" s="6"/>
      <c r="H58" s="6"/>
      <c r="I58" s="6"/>
      <c r="J58" s="6"/>
    </row>
    <row r="59" spans="1:10" ht="36" x14ac:dyDescent="0.3">
      <c r="A59" s="47" t="s">
        <v>180</v>
      </c>
      <c r="B59" s="48" t="s">
        <v>181</v>
      </c>
      <c r="C59" s="48" t="s">
        <v>182</v>
      </c>
      <c r="D59" s="48" t="s">
        <v>183</v>
      </c>
      <c r="E59" s="6"/>
      <c r="F59" s="6"/>
      <c r="G59" s="6"/>
      <c r="H59" s="6"/>
      <c r="I59" s="6"/>
      <c r="J59" s="6"/>
    </row>
    <row r="60" spans="1:10" x14ac:dyDescent="0.35">
      <c r="A60" s="59" t="s">
        <v>184</v>
      </c>
      <c r="B60" s="60"/>
      <c r="C60" s="60"/>
      <c r="D60" s="61"/>
      <c r="E60" s="7" t="str">
        <f t="shared" ref="E60:J60" si="5">IFERROR(AVERAGE(E57:E59),"")</f>
        <v/>
      </c>
      <c r="F60" s="7" t="str">
        <f t="shared" si="5"/>
        <v/>
      </c>
      <c r="G60" s="7" t="str">
        <f t="shared" si="5"/>
        <v/>
      </c>
      <c r="H60" s="7" t="str">
        <f t="shared" si="5"/>
        <v/>
      </c>
      <c r="I60" s="7" t="str">
        <f t="shared" si="5"/>
        <v/>
      </c>
      <c r="J60" s="7" t="str">
        <f t="shared" si="5"/>
        <v/>
      </c>
    </row>
    <row r="63" spans="1:10" ht="15.75" customHeight="1" x14ac:dyDescent="0.3">
      <c r="A63" s="68" t="s">
        <v>190</v>
      </c>
      <c r="B63" s="57"/>
      <c r="C63" s="57"/>
      <c r="D63" s="57"/>
      <c r="E63" s="57"/>
      <c r="F63" s="57"/>
      <c r="G63" s="57"/>
      <c r="H63" s="57"/>
      <c r="I63" s="57"/>
      <c r="J63" s="58"/>
    </row>
    <row r="64" spans="1:10" x14ac:dyDescent="0.35">
      <c r="A64" s="64" t="s">
        <v>191</v>
      </c>
      <c r="B64" s="60"/>
      <c r="C64" s="60"/>
      <c r="D64" s="61"/>
      <c r="E64" s="10"/>
      <c r="F64" s="10"/>
      <c r="G64" s="10"/>
      <c r="H64" s="10"/>
      <c r="I64" s="10"/>
      <c r="J64" s="10"/>
    </row>
    <row r="65" spans="1:10" x14ac:dyDescent="0.35">
      <c r="A65" s="59" t="s">
        <v>192</v>
      </c>
      <c r="B65" s="60"/>
      <c r="C65" s="60"/>
      <c r="D65" s="61"/>
      <c r="E65" s="11" t="str">
        <f t="shared" ref="E65:J65" si="6">IFERROR(AVERAGE(E20:E23,E28:E29,E34:E36,E41:E44,E49:E52,E57:E59),"")</f>
        <v/>
      </c>
      <c r="F65" s="11" t="str">
        <f t="shared" si="6"/>
        <v/>
      </c>
      <c r="G65" s="11" t="str">
        <f t="shared" si="6"/>
        <v/>
      </c>
      <c r="H65" s="11" t="str">
        <f t="shared" si="6"/>
        <v/>
      </c>
      <c r="I65" s="11" t="str">
        <f t="shared" si="6"/>
        <v/>
      </c>
      <c r="J65" s="11" t="str">
        <f t="shared" si="6"/>
        <v/>
      </c>
    </row>
    <row r="66" spans="1:10" x14ac:dyDescent="0.35">
      <c r="A66" s="59" t="s">
        <v>193</v>
      </c>
      <c r="B66" s="60"/>
      <c r="C66" s="60"/>
      <c r="D66" s="61"/>
      <c r="E66" s="11" t="str">
        <f>IFERROR(#REF!,"")</f>
        <v/>
      </c>
      <c r="F66" s="11" t="str">
        <f>IFERROR(#REF!,"")</f>
        <v/>
      </c>
      <c r="G66" s="11" t="str">
        <f>IFERROR(#REF!,"")</f>
        <v/>
      </c>
      <c r="H66" s="11" t="str">
        <f>IFERROR(#REF!,"")</f>
        <v/>
      </c>
      <c r="I66" s="11" t="str">
        <f>IFERROR(#REF!,"")</f>
        <v/>
      </c>
      <c r="J66" s="11" t="str">
        <f>IFERROR(#REF!,"")</f>
        <v/>
      </c>
    </row>
    <row r="67" spans="1:10" x14ac:dyDescent="0.35">
      <c r="A67" s="59" t="s">
        <v>194</v>
      </c>
      <c r="B67" s="60"/>
      <c r="C67" s="60"/>
      <c r="D67" s="61"/>
      <c r="E67" s="7" t="str">
        <f t="shared" ref="E67:J67" si="7">IFERROR(AVERAGE(E65,E66),"")</f>
        <v/>
      </c>
      <c r="F67" s="7" t="str">
        <f t="shared" si="7"/>
        <v/>
      </c>
      <c r="G67" s="7" t="str">
        <f t="shared" si="7"/>
        <v/>
      </c>
      <c r="H67" s="7" t="str">
        <f t="shared" si="7"/>
        <v/>
      </c>
      <c r="I67" s="7" t="str">
        <f t="shared" si="7"/>
        <v/>
      </c>
      <c r="J67" s="7" t="str">
        <f t="shared" si="7"/>
        <v/>
      </c>
    </row>
    <row r="68" spans="1:10" x14ac:dyDescent="0.35">
      <c r="A68" s="72" t="s">
        <v>195</v>
      </c>
      <c r="B68" s="60"/>
      <c r="C68" s="60"/>
      <c r="D68" s="61"/>
      <c r="E68" s="12" t="str">
        <f t="shared" ref="E68:J68" si="8">IFERROR(ABS(E67-3),"")</f>
        <v/>
      </c>
      <c r="F68" s="12" t="str">
        <f t="shared" si="8"/>
        <v/>
      </c>
      <c r="G68" s="12" t="str">
        <f t="shared" si="8"/>
        <v/>
      </c>
      <c r="H68" s="12" t="str">
        <f t="shared" si="8"/>
        <v/>
      </c>
      <c r="I68" s="12" t="str">
        <f t="shared" si="8"/>
        <v/>
      </c>
      <c r="J68" s="12" t="str">
        <f t="shared" si="8"/>
        <v/>
      </c>
    </row>
    <row r="69" spans="1:10" x14ac:dyDescent="0.35">
      <c r="A69" s="59" t="s">
        <v>196</v>
      </c>
      <c r="B69" s="60"/>
      <c r="C69" s="60"/>
      <c r="D69" s="61"/>
      <c r="E69" s="10" t="str">
        <f t="shared" ref="E69:J69" si="9">IFERROR(RANK(E68,$E$68:$J$68,1),"")</f>
        <v/>
      </c>
      <c r="F69" s="10" t="str">
        <f t="shared" si="9"/>
        <v/>
      </c>
      <c r="G69" s="10" t="str">
        <f t="shared" si="9"/>
        <v/>
      </c>
      <c r="H69" s="10" t="str">
        <f t="shared" si="9"/>
        <v/>
      </c>
      <c r="I69" s="10" t="str">
        <f t="shared" si="9"/>
        <v/>
      </c>
      <c r="J69" s="10" t="str">
        <f t="shared" si="9"/>
        <v/>
      </c>
    </row>
    <row r="71" spans="1:10" ht="14.4" x14ac:dyDescent="0.3">
      <c r="A71" s="69" t="s">
        <v>197</v>
      </c>
      <c r="B71" s="57"/>
      <c r="C71" s="57"/>
      <c r="D71" s="57"/>
      <c r="E71" s="57"/>
      <c r="F71" s="57"/>
      <c r="G71" s="57"/>
      <c r="H71" s="57"/>
      <c r="I71" s="57"/>
      <c r="J71" s="58"/>
    </row>
    <row r="72" spans="1:10" ht="18" customHeight="1" x14ac:dyDescent="0.3">
      <c r="A72" s="44" t="s">
        <v>198</v>
      </c>
      <c r="B72" s="62"/>
      <c r="C72" s="57"/>
      <c r="D72" s="57"/>
      <c r="E72" s="57"/>
      <c r="F72" s="57"/>
      <c r="G72" s="57"/>
      <c r="H72" s="57"/>
      <c r="I72" s="57"/>
      <c r="J72" s="58"/>
    </row>
    <row r="73" spans="1:10" ht="18" customHeight="1" x14ac:dyDescent="0.3">
      <c r="A73" s="44" t="s">
        <v>199</v>
      </c>
      <c r="B73" s="62"/>
      <c r="C73" s="57"/>
      <c r="D73" s="57"/>
      <c r="E73" s="57"/>
      <c r="F73" s="57"/>
      <c r="G73" s="57"/>
      <c r="H73" s="57"/>
      <c r="I73" s="57"/>
      <c r="J73" s="58"/>
    </row>
    <row r="74" spans="1:10" ht="18" customHeight="1" x14ac:dyDescent="0.3">
      <c r="A74" s="44" t="s">
        <v>200</v>
      </c>
      <c r="B74" s="62"/>
      <c r="C74" s="57"/>
      <c r="D74" s="57"/>
      <c r="E74" s="57"/>
      <c r="F74" s="57"/>
      <c r="G74" s="57"/>
      <c r="H74" s="57"/>
      <c r="I74" s="57"/>
      <c r="J74" s="58"/>
    </row>
    <row r="75" spans="1:10" ht="18" customHeight="1" x14ac:dyDescent="0.3">
      <c r="A75" s="44" t="s">
        <v>201</v>
      </c>
      <c r="B75" s="62"/>
      <c r="C75" s="57"/>
      <c r="D75" s="57"/>
      <c r="E75" s="57"/>
      <c r="F75" s="57"/>
      <c r="G75" s="57"/>
      <c r="H75" s="57"/>
      <c r="I75" s="57"/>
      <c r="J75" s="58"/>
    </row>
    <row r="76" spans="1:10" ht="18" customHeight="1" x14ac:dyDescent="0.3">
      <c r="A76" s="44" t="s">
        <v>202</v>
      </c>
      <c r="B76" s="62"/>
      <c r="C76" s="57"/>
      <c r="D76" s="57"/>
      <c r="E76" s="57"/>
      <c r="F76" s="57"/>
      <c r="G76" s="57"/>
      <c r="H76" s="57"/>
      <c r="I76" s="57"/>
      <c r="J76" s="58"/>
    </row>
    <row r="77" spans="1:10" ht="18" customHeight="1" x14ac:dyDescent="0.3">
      <c r="A77" s="44" t="s">
        <v>946</v>
      </c>
      <c r="B77" s="62"/>
      <c r="C77" s="57"/>
      <c r="D77" s="57"/>
      <c r="E77" s="57"/>
      <c r="F77" s="57"/>
      <c r="G77" s="57"/>
      <c r="H77" s="57"/>
      <c r="I77" s="57"/>
      <c r="J77" s="58"/>
    </row>
    <row r="79" spans="1:10" ht="15" customHeight="1" x14ac:dyDescent="0.35">
      <c r="A79" s="50" t="s">
        <v>203</v>
      </c>
      <c r="B79" s="74"/>
      <c r="C79" s="75"/>
      <c r="D79" s="51" t="s">
        <v>204</v>
      </c>
      <c r="E79" s="53"/>
      <c r="F79" s="54"/>
      <c r="G79" s="54"/>
      <c r="H79" s="55"/>
      <c r="I79" s="43" t="s">
        <v>4</v>
      </c>
      <c r="J79" s="39"/>
    </row>
  </sheetData>
  <mergeCells count="44">
    <mergeCell ref="A1:J1"/>
    <mergeCell ref="B73:J73"/>
    <mergeCell ref="A63:J63"/>
    <mergeCell ref="A71:J71"/>
    <mergeCell ref="B72:J72"/>
    <mergeCell ref="A16:J16"/>
    <mergeCell ref="B6:C6"/>
    <mergeCell ref="A68:D68"/>
    <mergeCell ref="A2:J2"/>
    <mergeCell ref="D5:J5"/>
    <mergeCell ref="A37:D37"/>
    <mergeCell ref="A5:C5"/>
    <mergeCell ref="A9:J9"/>
    <mergeCell ref="A45:D45"/>
    <mergeCell ref="A32:J32"/>
    <mergeCell ref="A60:D60"/>
    <mergeCell ref="A12:D12"/>
    <mergeCell ref="A18:J18"/>
    <mergeCell ref="A3:J3"/>
    <mergeCell ref="A47:J47"/>
    <mergeCell ref="A53:D53"/>
    <mergeCell ref="A26:J26"/>
    <mergeCell ref="A24:D24"/>
    <mergeCell ref="A11:D11"/>
    <mergeCell ref="E7:J7"/>
    <mergeCell ref="B7:C7"/>
    <mergeCell ref="A10:D10"/>
    <mergeCell ref="E6:J6"/>
    <mergeCell ref="A13:D13"/>
    <mergeCell ref="E79:H79"/>
    <mergeCell ref="A39:J39"/>
    <mergeCell ref="A30:D30"/>
    <mergeCell ref="A14:D14"/>
    <mergeCell ref="B74:J74"/>
    <mergeCell ref="A67:D67"/>
    <mergeCell ref="A64:D64"/>
    <mergeCell ref="A69:D69"/>
    <mergeCell ref="B75:J75"/>
    <mergeCell ref="B79:C79"/>
    <mergeCell ref="B77:J77"/>
    <mergeCell ref="A55:J55"/>
    <mergeCell ref="A66:D66"/>
    <mergeCell ref="B76:J76"/>
    <mergeCell ref="A65:D65"/>
  </mergeCells>
  <pageMargins left="0.75" right="0.75" top="1" bottom="1" header="0.5" footer="0.5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 1 - Bread &amp; Buns</vt:lpstr>
      <vt:lpstr>Cat 2 - Shawarma &amp; Tortilla</vt:lpstr>
      <vt:lpstr>Cat 3 - Parathas Naan Sheermal</vt:lpstr>
      <vt:lpstr>Cat 4 - Samosa</vt:lpstr>
      <vt:lpstr>Cat 5 - Rusks</vt:lpstr>
      <vt:lpstr>Cat 6 - Cakes Muffins Cupcakes</vt:lpstr>
      <vt:lpstr>Cat 7 - Chicken Products</vt:lpstr>
      <vt:lpstr>Cat 8 - Kebabs</vt:lpstr>
      <vt:lpstr>Cat 9 - Pizza Toppings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Zeshan Khalid</cp:lastModifiedBy>
  <cp:revision>0</cp:revision>
  <cp:lastPrinted>2026-08-27T06:34:40Z</cp:lastPrinted>
  <dcterms:created xsi:type="dcterms:W3CDTF">2026-06-30T06:33:44Z</dcterms:created>
  <dcterms:modified xsi:type="dcterms:W3CDTF">2026-08-27T07:44:48Z</dcterms:modified>
  <dc:language>en-US</dc:language>
</cp:coreProperties>
</file>